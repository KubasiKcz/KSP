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tov\Documents\"/>
    </mc:Choice>
  </mc:AlternateContent>
  <xr:revisionPtr revIDLastSave="0" documentId="13_ncr:1_{FC27F1ED-3C6A-416A-AC77-581DCA4EE00A}" xr6:coauthVersionLast="47" xr6:coauthVersionMax="47" xr10:uidLastSave="{00000000-0000-0000-0000-000000000000}"/>
  <bookViews>
    <workbookView xWindow="-120" yWindow="-120" windowWidth="29040" windowHeight="16440" xr2:uid="{30045390-1F50-4D04-9C2D-16C96DD260DB}"/>
  </bookViews>
  <sheets>
    <sheet name="Base" sheetId="1" r:id="rId1"/>
    <sheet name="Count" sheetId="2" r:id="rId2"/>
    <sheet name="MaskTab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2" l="1"/>
  <c r="D37" i="2" s="1"/>
  <c r="E37" i="2" s="1"/>
  <c r="C37" i="2"/>
  <c r="O37" i="2"/>
  <c r="P37" i="2"/>
  <c r="B38" i="2"/>
  <c r="D38" i="2" s="1"/>
  <c r="E38" i="2" s="1"/>
  <c r="C38" i="2"/>
  <c r="O38" i="2" s="1"/>
  <c r="B39" i="2"/>
  <c r="C39" i="2"/>
  <c r="O39" i="2" s="1"/>
  <c r="B40" i="2"/>
  <c r="D40" i="2" s="1"/>
  <c r="E40" i="2" s="1"/>
  <c r="C40" i="2"/>
  <c r="O40" i="2"/>
  <c r="P40" i="2"/>
  <c r="B41" i="2"/>
  <c r="D41" i="2" s="1"/>
  <c r="E41" i="2" s="1"/>
  <c r="C41" i="2"/>
  <c r="O41" i="2" s="1"/>
  <c r="B42" i="2"/>
  <c r="C42" i="2"/>
  <c r="O42" i="2" s="1"/>
  <c r="B43" i="2"/>
  <c r="D43" i="2" s="1"/>
  <c r="E43" i="2" s="1"/>
  <c r="C43" i="2"/>
  <c r="O43" i="2"/>
  <c r="P43" i="2"/>
  <c r="B44" i="2"/>
  <c r="D44" i="2" s="1"/>
  <c r="E44" i="2" s="1"/>
  <c r="C44" i="2"/>
  <c r="O44" i="2" s="1"/>
  <c r="B45" i="2"/>
  <c r="C45" i="2"/>
  <c r="O45" i="2" s="1"/>
  <c r="B46" i="2"/>
  <c r="D46" i="2" s="1"/>
  <c r="E46" i="2" s="1"/>
  <c r="C46" i="2"/>
  <c r="O46" i="2"/>
  <c r="P46" i="2"/>
  <c r="B47" i="2"/>
  <c r="D47" i="2" s="1"/>
  <c r="E47" i="2" s="1"/>
  <c r="C47" i="2"/>
  <c r="O47" i="2" s="1"/>
  <c r="B48" i="2"/>
  <c r="D48" i="2" s="1"/>
  <c r="E48" i="2" s="1"/>
  <c r="C48" i="2"/>
  <c r="O48" i="2" s="1"/>
  <c r="B49" i="2"/>
  <c r="D49" i="2" s="1"/>
  <c r="E49" i="2" s="1"/>
  <c r="C49" i="2"/>
  <c r="O49" i="2"/>
  <c r="P49" i="2"/>
  <c r="B50" i="2"/>
  <c r="D50" i="2" s="1"/>
  <c r="E50" i="2" s="1"/>
  <c r="C50" i="2"/>
  <c r="O50" i="2" s="1"/>
  <c r="B51" i="2"/>
  <c r="D51" i="2" s="1"/>
  <c r="E51" i="2" s="1"/>
  <c r="C51" i="2"/>
  <c r="O51" i="2" s="1"/>
  <c r="B52" i="2"/>
  <c r="D52" i="2" s="1"/>
  <c r="E52" i="2" s="1"/>
  <c r="C52" i="2"/>
  <c r="O52" i="2"/>
  <c r="P52" i="2"/>
  <c r="B53" i="2"/>
  <c r="D53" i="2" s="1"/>
  <c r="E53" i="2" s="1"/>
  <c r="C53" i="2"/>
  <c r="O53" i="2" s="1"/>
  <c r="B54" i="2"/>
  <c r="D54" i="2" s="1"/>
  <c r="E54" i="2" s="1"/>
  <c r="C54" i="2"/>
  <c r="O54" i="2" s="1"/>
  <c r="B55" i="2"/>
  <c r="D55" i="2" s="1"/>
  <c r="E55" i="2" s="1"/>
  <c r="C55" i="2"/>
  <c r="O55" i="2"/>
  <c r="P55" i="2"/>
  <c r="B56" i="2"/>
  <c r="D56" i="2" s="1"/>
  <c r="E56" i="2" s="1"/>
  <c r="C56" i="2"/>
  <c r="O56" i="2" s="1"/>
  <c r="B57" i="2"/>
  <c r="D57" i="2" s="1"/>
  <c r="E57" i="2" s="1"/>
  <c r="C57" i="2"/>
  <c r="O57" i="2" s="1"/>
  <c r="B58" i="2"/>
  <c r="D58" i="2" s="1"/>
  <c r="E58" i="2" s="1"/>
  <c r="C58" i="2"/>
  <c r="O58" i="2"/>
  <c r="P58" i="2"/>
  <c r="B59" i="2"/>
  <c r="D59" i="2" s="1"/>
  <c r="E59" i="2" s="1"/>
  <c r="C59" i="2"/>
  <c r="O59" i="2" s="1"/>
  <c r="B60" i="2"/>
  <c r="D60" i="2" s="1"/>
  <c r="E60" i="2" s="1"/>
  <c r="C60" i="2"/>
  <c r="O60" i="2" s="1"/>
  <c r="A57" i="2"/>
  <c r="A58" i="2"/>
  <c r="A59" i="2"/>
  <c r="A60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H7" i="1"/>
  <c r="E8" i="1"/>
  <c r="H8" i="1"/>
  <c r="K8" i="1"/>
  <c r="E9" i="1"/>
  <c r="F9" i="1"/>
  <c r="G9" i="1"/>
  <c r="H9" i="1"/>
  <c r="I9" i="1"/>
  <c r="J9" i="1"/>
  <c r="K9" i="1"/>
  <c r="M9" i="1"/>
  <c r="E10" i="1"/>
  <c r="F10" i="1"/>
  <c r="G10" i="1"/>
  <c r="H10" i="1"/>
  <c r="I10" i="1"/>
  <c r="J10" i="1"/>
  <c r="K10" i="1"/>
  <c r="L10" i="1"/>
  <c r="M10" i="1"/>
  <c r="E11" i="1"/>
  <c r="F11" i="1"/>
  <c r="G11" i="1"/>
  <c r="H11" i="1"/>
  <c r="I11" i="1"/>
  <c r="J11" i="1"/>
  <c r="K11" i="1"/>
  <c r="L11" i="1"/>
  <c r="M11" i="1"/>
  <c r="E12" i="1"/>
  <c r="F12" i="1"/>
  <c r="G12" i="1"/>
  <c r="H12" i="1"/>
  <c r="I12" i="1"/>
  <c r="J12" i="1"/>
  <c r="K12" i="1"/>
  <c r="L12" i="1"/>
  <c r="M12" i="1"/>
  <c r="E13" i="1"/>
  <c r="F13" i="1"/>
  <c r="G13" i="1"/>
  <c r="H13" i="1"/>
  <c r="I13" i="1"/>
  <c r="J13" i="1"/>
  <c r="K13" i="1"/>
  <c r="L13" i="1"/>
  <c r="M13" i="1"/>
  <c r="E14" i="1"/>
  <c r="F14" i="1"/>
  <c r="G14" i="1"/>
  <c r="H14" i="1"/>
  <c r="I14" i="1"/>
  <c r="J14" i="1"/>
  <c r="K14" i="1"/>
  <c r="L14" i="1"/>
  <c r="M14" i="1"/>
  <c r="E15" i="1"/>
  <c r="F15" i="1"/>
  <c r="G15" i="1"/>
  <c r="H15" i="1"/>
  <c r="I15" i="1"/>
  <c r="J15" i="1"/>
  <c r="K15" i="1"/>
  <c r="L15" i="1"/>
  <c r="M15" i="1"/>
  <c r="E16" i="1"/>
  <c r="F16" i="1"/>
  <c r="G16" i="1"/>
  <c r="H16" i="1"/>
  <c r="I16" i="1"/>
  <c r="J16" i="1"/>
  <c r="K16" i="1"/>
  <c r="L16" i="1"/>
  <c r="M16" i="1"/>
  <c r="E17" i="1"/>
  <c r="F17" i="1"/>
  <c r="G17" i="1"/>
  <c r="H17" i="1"/>
  <c r="I17" i="1"/>
  <c r="J17" i="1"/>
  <c r="K17" i="1"/>
  <c r="L17" i="1"/>
  <c r="M17" i="1"/>
  <c r="E18" i="1"/>
  <c r="F18" i="1"/>
  <c r="G18" i="1"/>
  <c r="H18" i="1"/>
  <c r="I18" i="1"/>
  <c r="J18" i="1"/>
  <c r="K18" i="1"/>
  <c r="L18" i="1"/>
  <c r="M18" i="1"/>
  <c r="E19" i="1"/>
  <c r="F19" i="1"/>
  <c r="G19" i="1"/>
  <c r="H19" i="1"/>
  <c r="I19" i="1"/>
  <c r="J19" i="1"/>
  <c r="K19" i="1"/>
  <c r="L19" i="1"/>
  <c r="M19" i="1"/>
  <c r="E20" i="1"/>
  <c r="F20" i="1"/>
  <c r="G20" i="1"/>
  <c r="H20" i="1"/>
  <c r="I20" i="1"/>
  <c r="J20" i="1"/>
  <c r="K20" i="1"/>
  <c r="L20" i="1"/>
  <c r="M20" i="1"/>
  <c r="E21" i="1"/>
  <c r="F21" i="1"/>
  <c r="G21" i="1"/>
  <c r="H21" i="1"/>
  <c r="I21" i="1"/>
  <c r="J21" i="1"/>
  <c r="K21" i="1"/>
  <c r="L21" i="1"/>
  <c r="M21" i="1"/>
  <c r="E22" i="1"/>
  <c r="F22" i="1"/>
  <c r="G22" i="1"/>
  <c r="H22" i="1"/>
  <c r="I22" i="1"/>
  <c r="J22" i="1"/>
  <c r="K22" i="1"/>
  <c r="L22" i="1"/>
  <c r="M22" i="1"/>
  <c r="E23" i="1"/>
  <c r="F23" i="1"/>
  <c r="G23" i="1"/>
  <c r="H23" i="1"/>
  <c r="I23" i="1"/>
  <c r="J23" i="1"/>
  <c r="K23" i="1"/>
  <c r="L23" i="1"/>
  <c r="M23" i="1"/>
  <c r="E24" i="1"/>
  <c r="F24" i="1"/>
  <c r="G24" i="1"/>
  <c r="H24" i="1"/>
  <c r="I24" i="1"/>
  <c r="J24" i="1"/>
  <c r="K24" i="1"/>
  <c r="L24" i="1"/>
  <c r="M24" i="1"/>
  <c r="E25" i="1"/>
  <c r="F25" i="1"/>
  <c r="G25" i="1"/>
  <c r="H25" i="1"/>
  <c r="I25" i="1"/>
  <c r="J25" i="1"/>
  <c r="K25" i="1"/>
  <c r="L25" i="1"/>
  <c r="M25" i="1"/>
  <c r="E26" i="1"/>
  <c r="F26" i="1"/>
  <c r="G26" i="1"/>
  <c r="H26" i="1"/>
  <c r="I26" i="1"/>
  <c r="J26" i="1"/>
  <c r="K26" i="1"/>
  <c r="L26" i="1"/>
  <c r="M26" i="1"/>
  <c r="E27" i="1"/>
  <c r="F27" i="1"/>
  <c r="G27" i="1"/>
  <c r="H27" i="1"/>
  <c r="I27" i="1"/>
  <c r="J27" i="1"/>
  <c r="K27" i="1"/>
  <c r="L27" i="1"/>
  <c r="M27" i="1"/>
  <c r="E28" i="1"/>
  <c r="F28" i="1"/>
  <c r="G28" i="1"/>
  <c r="H28" i="1"/>
  <c r="I28" i="1"/>
  <c r="J28" i="1"/>
  <c r="K28" i="1"/>
  <c r="L28" i="1"/>
  <c r="M28" i="1"/>
  <c r="E29" i="1"/>
  <c r="F29" i="1"/>
  <c r="G29" i="1"/>
  <c r="H29" i="1"/>
  <c r="I29" i="1"/>
  <c r="J29" i="1"/>
  <c r="K29" i="1"/>
  <c r="L29" i="1"/>
  <c r="M29" i="1"/>
  <c r="E30" i="1"/>
  <c r="F30" i="1"/>
  <c r="G30" i="1"/>
  <c r="H30" i="1"/>
  <c r="I30" i="1"/>
  <c r="J30" i="1"/>
  <c r="K30" i="1"/>
  <c r="L30" i="1"/>
  <c r="M30" i="1"/>
  <c r="E31" i="1"/>
  <c r="F31" i="1"/>
  <c r="G31" i="1"/>
  <c r="H31" i="1"/>
  <c r="I31" i="1"/>
  <c r="J31" i="1"/>
  <c r="K31" i="1"/>
  <c r="L31" i="1"/>
  <c r="M31" i="1"/>
  <c r="E32" i="1"/>
  <c r="F32" i="1"/>
  <c r="G32" i="1"/>
  <c r="H32" i="1"/>
  <c r="I32" i="1"/>
  <c r="J32" i="1"/>
  <c r="K32" i="1"/>
  <c r="L32" i="1"/>
  <c r="M32" i="1"/>
  <c r="E33" i="1"/>
  <c r="F33" i="1"/>
  <c r="G33" i="1"/>
  <c r="H33" i="1"/>
  <c r="I33" i="1"/>
  <c r="J33" i="1"/>
  <c r="K33" i="1"/>
  <c r="L33" i="1"/>
  <c r="M33" i="1"/>
  <c r="E34" i="1"/>
  <c r="F34" i="1"/>
  <c r="G34" i="1"/>
  <c r="H34" i="1"/>
  <c r="I34" i="1"/>
  <c r="J34" i="1"/>
  <c r="K34" i="1"/>
  <c r="L34" i="1"/>
  <c r="M34" i="1"/>
  <c r="E35" i="1"/>
  <c r="F35" i="1"/>
  <c r="G35" i="1"/>
  <c r="H35" i="1"/>
  <c r="I35" i="1"/>
  <c r="J35" i="1"/>
  <c r="K35" i="1"/>
  <c r="L35" i="1"/>
  <c r="M35" i="1"/>
  <c r="E36" i="1"/>
  <c r="F36" i="1"/>
  <c r="G36" i="1"/>
  <c r="H36" i="1"/>
  <c r="I36" i="1"/>
  <c r="J36" i="1"/>
  <c r="K36" i="1"/>
  <c r="L36" i="1"/>
  <c r="M36" i="1"/>
  <c r="E37" i="1"/>
  <c r="F37" i="1"/>
  <c r="G37" i="1"/>
  <c r="H37" i="1"/>
  <c r="I37" i="1"/>
  <c r="J37" i="1"/>
  <c r="K37" i="1"/>
  <c r="L37" i="1"/>
  <c r="M37" i="1"/>
  <c r="E38" i="1"/>
  <c r="F38" i="1"/>
  <c r="G38" i="1"/>
  <c r="H38" i="1"/>
  <c r="I38" i="1"/>
  <c r="J38" i="1"/>
  <c r="K38" i="1"/>
  <c r="L38" i="1"/>
  <c r="M38" i="1"/>
  <c r="E39" i="1"/>
  <c r="F39" i="1"/>
  <c r="G39" i="1"/>
  <c r="H39" i="1"/>
  <c r="I39" i="1"/>
  <c r="J39" i="1"/>
  <c r="K39" i="1"/>
  <c r="L39" i="1"/>
  <c r="M39" i="1"/>
  <c r="E40" i="1"/>
  <c r="F40" i="1"/>
  <c r="G40" i="1"/>
  <c r="H40" i="1"/>
  <c r="I40" i="1"/>
  <c r="J40" i="1"/>
  <c r="K40" i="1"/>
  <c r="L40" i="1"/>
  <c r="M40" i="1"/>
  <c r="E41" i="1"/>
  <c r="F41" i="1"/>
  <c r="G41" i="1"/>
  <c r="H41" i="1"/>
  <c r="I41" i="1"/>
  <c r="J41" i="1"/>
  <c r="K41" i="1"/>
  <c r="L41" i="1"/>
  <c r="M41" i="1"/>
  <c r="E42" i="1"/>
  <c r="F42" i="1"/>
  <c r="G42" i="1"/>
  <c r="H42" i="1"/>
  <c r="I42" i="1"/>
  <c r="J42" i="1"/>
  <c r="K42" i="1"/>
  <c r="L42" i="1"/>
  <c r="M42" i="1"/>
  <c r="E43" i="1"/>
  <c r="F43" i="1"/>
  <c r="G43" i="1"/>
  <c r="H43" i="1"/>
  <c r="I43" i="1"/>
  <c r="J43" i="1"/>
  <c r="K43" i="1"/>
  <c r="L43" i="1"/>
  <c r="M43" i="1"/>
  <c r="E44" i="1"/>
  <c r="F44" i="1"/>
  <c r="G44" i="1"/>
  <c r="H44" i="1"/>
  <c r="I44" i="1"/>
  <c r="J44" i="1"/>
  <c r="K44" i="1"/>
  <c r="L44" i="1"/>
  <c r="M44" i="1"/>
  <c r="E45" i="1"/>
  <c r="F45" i="1"/>
  <c r="G45" i="1"/>
  <c r="H45" i="1"/>
  <c r="I45" i="1"/>
  <c r="J45" i="1"/>
  <c r="K45" i="1"/>
  <c r="L45" i="1"/>
  <c r="M45" i="1"/>
  <c r="E46" i="1"/>
  <c r="F46" i="1"/>
  <c r="G46" i="1"/>
  <c r="H46" i="1"/>
  <c r="I46" i="1"/>
  <c r="J46" i="1"/>
  <c r="K46" i="1"/>
  <c r="L46" i="1"/>
  <c r="M46" i="1"/>
  <c r="E47" i="1"/>
  <c r="F47" i="1"/>
  <c r="G47" i="1"/>
  <c r="H47" i="1"/>
  <c r="I47" i="1"/>
  <c r="J47" i="1"/>
  <c r="K47" i="1"/>
  <c r="L47" i="1"/>
  <c r="M47" i="1"/>
  <c r="E48" i="1"/>
  <c r="F48" i="1"/>
  <c r="G48" i="1"/>
  <c r="H48" i="1"/>
  <c r="I48" i="1"/>
  <c r="J48" i="1"/>
  <c r="K48" i="1"/>
  <c r="L48" i="1"/>
  <c r="M48" i="1"/>
  <c r="E49" i="1"/>
  <c r="F49" i="1"/>
  <c r="G49" i="1"/>
  <c r="H49" i="1"/>
  <c r="I49" i="1"/>
  <c r="J49" i="1"/>
  <c r="K49" i="1"/>
  <c r="L49" i="1"/>
  <c r="M49" i="1"/>
  <c r="E50" i="1"/>
  <c r="F50" i="1"/>
  <c r="G50" i="1"/>
  <c r="H50" i="1"/>
  <c r="I50" i="1"/>
  <c r="J50" i="1"/>
  <c r="K50" i="1"/>
  <c r="L50" i="1"/>
  <c r="M50" i="1"/>
  <c r="E51" i="1"/>
  <c r="F51" i="1"/>
  <c r="G51" i="1"/>
  <c r="H51" i="1"/>
  <c r="I51" i="1"/>
  <c r="J51" i="1"/>
  <c r="K51" i="1"/>
  <c r="L51" i="1"/>
  <c r="M51" i="1"/>
  <c r="E52" i="1"/>
  <c r="F52" i="1"/>
  <c r="G52" i="1"/>
  <c r="H52" i="1"/>
  <c r="I52" i="1"/>
  <c r="J52" i="1"/>
  <c r="K52" i="1"/>
  <c r="L52" i="1"/>
  <c r="M52" i="1"/>
  <c r="E53" i="1"/>
  <c r="F53" i="1"/>
  <c r="G53" i="1"/>
  <c r="H53" i="1"/>
  <c r="I53" i="1"/>
  <c r="J53" i="1"/>
  <c r="K53" i="1"/>
  <c r="L53" i="1"/>
  <c r="M53" i="1"/>
  <c r="E54" i="1"/>
  <c r="F54" i="1"/>
  <c r="G54" i="1"/>
  <c r="H54" i="1"/>
  <c r="I54" i="1"/>
  <c r="J54" i="1"/>
  <c r="K54" i="1"/>
  <c r="L54" i="1"/>
  <c r="M54" i="1"/>
  <c r="E55" i="1"/>
  <c r="F55" i="1"/>
  <c r="G55" i="1"/>
  <c r="H55" i="1"/>
  <c r="I55" i="1"/>
  <c r="J55" i="1"/>
  <c r="K55" i="1"/>
  <c r="L55" i="1"/>
  <c r="M55" i="1"/>
  <c r="E56" i="1"/>
  <c r="F56" i="1"/>
  <c r="G56" i="1"/>
  <c r="H56" i="1"/>
  <c r="I56" i="1"/>
  <c r="J56" i="1"/>
  <c r="K56" i="1"/>
  <c r="L56" i="1"/>
  <c r="M56" i="1"/>
  <c r="E57" i="1"/>
  <c r="F57" i="1"/>
  <c r="G57" i="1"/>
  <c r="H57" i="1"/>
  <c r="I57" i="1"/>
  <c r="J57" i="1"/>
  <c r="K57" i="1"/>
  <c r="L57" i="1"/>
  <c r="M57" i="1"/>
  <c r="E58" i="1"/>
  <c r="F58" i="1"/>
  <c r="G58" i="1"/>
  <c r="H58" i="1"/>
  <c r="I58" i="1"/>
  <c r="J58" i="1"/>
  <c r="K58" i="1"/>
  <c r="L58" i="1"/>
  <c r="M58" i="1"/>
  <c r="E59" i="1"/>
  <c r="F59" i="1"/>
  <c r="G59" i="1"/>
  <c r="H59" i="1"/>
  <c r="I59" i="1"/>
  <c r="J59" i="1"/>
  <c r="K59" i="1"/>
  <c r="L59" i="1"/>
  <c r="M59" i="1"/>
  <c r="E60" i="1"/>
  <c r="F60" i="1"/>
  <c r="G60" i="1"/>
  <c r="H60" i="1"/>
  <c r="I60" i="1"/>
  <c r="J60" i="1"/>
  <c r="K60" i="1"/>
  <c r="L60" i="1"/>
  <c r="M60" i="1"/>
  <c r="P17" i="2"/>
  <c r="B2" i="2"/>
  <c r="H5" i="2" s="1"/>
  <c r="A1" i="2"/>
  <c r="C6" i="2"/>
  <c r="C7" i="2"/>
  <c r="C8" i="2"/>
  <c r="C9" i="2"/>
  <c r="C10" i="2"/>
  <c r="C11" i="2"/>
  <c r="O11" i="2" s="1"/>
  <c r="C12" i="2"/>
  <c r="O12" i="2" s="1"/>
  <c r="C13" i="2"/>
  <c r="P13" i="2" s="1"/>
  <c r="C14" i="2"/>
  <c r="O14" i="2" s="1"/>
  <c r="C15" i="2"/>
  <c r="O15" i="2" s="1"/>
  <c r="C16" i="2"/>
  <c r="O16" i="2" s="1"/>
  <c r="C17" i="2"/>
  <c r="O17" i="2" s="1"/>
  <c r="C18" i="2"/>
  <c r="O18" i="2" s="1"/>
  <c r="C19" i="2"/>
  <c r="O19" i="2" s="1"/>
  <c r="C20" i="2"/>
  <c r="O20" i="2" s="1"/>
  <c r="C21" i="2"/>
  <c r="O21" i="2" s="1"/>
  <c r="C22" i="2"/>
  <c r="O22" i="2" s="1"/>
  <c r="C23" i="2"/>
  <c r="O23" i="2" s="1"/>
  <c r="C24" i="2"/>
  <c r="P24" i="2" s="1"/>
  <c r="C25" i="2"/>
  <c r="O25" i="2" s="1"/>
  <c r="C26" i="2"/>
  <c r="O26" i="2" s="1"/>
  <c r="C27" i="2"/>
  <c r="O27" i="2" s="1"/>
  <c r="C28" i="2"/>
  <c r="O28" i="2" s="1"/>
  <c r="C29" i="2"/>
  <c r="O29" i="2" s="1"/>
  <c r="C30" i="2"/>
  <c r="O30" i="2" s="1"/>
  <c r="C31" i="2"/>
  <c r="P31" i="2" s="1"/>
  <c r="C32" i="2"/>
  <c r="O32" i="2" s="1"/>
  <c r="C33" i="2"/>
  <c r="O33" i="2" s="1"/>
  <c r="C34" i="2"/>
  <c r="O34" i="2" s="1"/>
  <c r="C35" i="2"/>
  <c r="O35" i="2" s="1"/>
  <c r="C36" i="2"/>
  <c r="O36" i="2" s="1"/>
  <c r="B6" i="2"/>
  <c r="B7" i="2"/>
  <c r="B8" i="2"/>
  <c r="B9" i="2"/>
  <c r="B10" i="2"/>
  <c r="B11" i="2"/>
  <c r="B12" i="2"/>
  <c r="B13" i="2"/>
  <c r="B14" i="2"/>
  <c r="B15" i="2"/>
  <c r="D15" i="2" s="1"/>
  <c r="E15" i="2" s="1"/>
  <c r="B16" i="2"/>
  <c r="D16" i="2" s="1"/>
  <c r="E16" i="2" s="1"/>
  <c r="B17" i="2"/>
  <c r="D17" i="2" s="1"/>
  <c r="E17" i="2" s="1"/>
  <c r="B18" i="2"/>
  <c r="D18" i="2" s="1"/>
  <c r="E18" i="2" s="1"/>
  <c r="B19" i="2"/>
  <c r="D19" i="2" s="1"/>
  <c r="E19" i="2" s="1"/>
  <c r="B30" i="2"/>
  <c r="D30" i="2" s="1"/>
  <c r="E30" i="2" s="1"/>
  <c r="B31" i="2"/>
  <c r="B32" i="2"/>
  <c r="B33" i="2"/>
  <c r="D33" i="2" s="1"/>
  <c r="E33" i="2" s="1"/>
  <c r="B34" i="2"/>
  <c r="B35" i="2"/>
  <c r="B36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5" i="2"/>
  <c r="C5" i="2"/>
  <c r="B5" i="2"/>
  <c r="F54" i="2" l="1"/>
  <c r="G54" i="2"/>
  <c r="M54" i="2" s="1"/>
  <c r="F58" i="2"/>
  <c r="G58" i="2"/>
  <c r="M58" i="2" s="1"/>
  <c r="F53" i="2"/>
  <c r="G53" i="2"/>
  <c r="M53" i="2" s="1"/>
  <c r="F44" i="2"/>
  <c r="G44" i="2"/>
  <c r="M44" i="2" s="1"/>
  <c r="F40" i="2"/>
  <c r="G40" i="2"/>
  <c r="M40" i="2" s="1"/>
  <c r="F49" i="2"/>
  <c r="G49" i="2"/>
  <c r="M49" i="2" s="1"/>
  <c r="F57" i="2"/>
  <c r="G57" i="2"/>
  <c r="M57" i="2" s="1"/>
  <c r="F48" i="2"/>
  <c r="G48" i="2"/>
  <c r="M48" i="2" s="1"/>
  <c r="F56" i="2"/>
  <c r="G56" i="2"/>
  <c r="M56" i="2" s="1"/>
  <c r="F38" i="2"/>
  <c r="G38" i="2"/>
  <c r="M38" i="2" s="1"/>
  <c r="F43" i="2"/>
  <c r="G43" i="2"/>
  <c r="M43" i="2" s="1"/>
  <c r="F52" i="2"/>
  <c r="G52" i="2"/>
  <c r="M52" i="2" s="1"/>
  <c r="F60" i="2"/>
  <c r="G60" i="2"/>
  <c r="M60" i="2" s="1"/>
  <c r="F51" i="2"/>
  <c r="G51" i="2"/>
  <c r="M51" i="2" s="1"/>
  <c r="F47" i="2"/>
  <c r="G47" i="2"/>
  <c r="M47" i="2" s="1"/>
  <c r="F59" i="2"/>
  <c r="G59" i="2"/>
  <c r="M59" i="2" s="1"/>
  <c r="F55" i="2"/>
  <c r="G55" i="2"/>
  <c r="M55" i="2" s="1"/>
  <c r="F50" i="2"/>
  <c r="G50" i="2"/>
  <c r="M50" i="2" s="1"/>
  <c r="F46" i="2"/>
  <c r="G46" i="2"/>
  <c r="M46" i="2" s="1"/>
  <c r="F41" i="2"/>
  <c r="G41" i="2"/>
  <c r="M41" i="2" s="1"/>
  <c r="F37" i="2"/>
  <c r="G37" i="2"/>
  <c r="M37" i="2" s="1"/>
  <c r="D45" i="2"/>
  <c r="E45" i="2" s="1"/>
  <c r="D42" i="2"/>
  <c r="E42" i="2" s="1"/>
  <c r="D39" i="2"/>
  <c r="E39" i="2" s="1"/>
  <c r="P60" i="2"/>
  <c r="P57" i="2"/>
  <c r="P54" i="2"/>
  <c r="P51" i="2"/>
  <c r="P48" i="2"/>
  <c r="P45" i="2"/>
  <c r="P42" i="2"/>
  <c r="P39" i="2"/>
  <c r="P59" i="2"/>
  <c r="P56" i="2"/>
  <c r="P53" i="2"/>
  <c r="P50" i="2"/>
  <c r="P47" i="2"/>
  <c r="P44" i="2"/>
  <c r="P41" i="2"/>
  <c r="P38" i="2"/>
  <c r="D35" i="2"/>
  <c r="E35" i="2" s="1"/>
  <c r="D13" i="2"/>
  <c r="E13" i="2" s="1"/>
  <c r="D34" i="2"/>
  <c r="E34" i="2" s="1"/>
  <c r="F34" i="2" s="1"/>
  <c r="D14" i="2"/>
  <c r="E14" i="2" s="1"/>
  <c r="G15" i="2"/>
  <c r="M15" i="2" s="1"/>
  <c r="F15" i="2"/>
  <c r="F18" i="2"/>
  <c r="G18" i="2"/>
  <c r="M18" i="2" s="1"/>
  <c r="G16" i="2"/>
  <c r="M16" i="2" s="1"/>
  <c r="F16" i="2"/>
  <c r="F19" i="2"/>
  <c r="G19" i="2"/>
  <c r="M19" i="2" s="1"/>
  <c r="F17" i="2"/>
  <c r="G17" i="2"/>
  <c r="M17" i="2" s="1"/>
  <c r="D12" i="2"/>
  <c r="E12" i="2" s="1"/>
  <c r="D32" i="2"/>
  <c r="E32" i="2" s="1"/>
  <c r="F32" i="2" s="1"/>
  <c r="P35" i="2"/>
  <c r="P16" i="2"/>
  <c r="P26" i="2"/>
  <c r="O24" i="2"/>
  <c r="P19" i="2"/>
  <c r="P15" i="2"/>
  <c r="P18" i="2"/>
  <c r="D36" i="2"/>
  <c r="E36" i="2" s="1"/>
  <c r="F36" i="2" s="1"/>
  <c r="G34" i="2"/>
  <c r="M34" i="2" s="1"/>
  <c r="F33" i="2"/>
  <c r="G33" i="2"/>
  <c r="M33" i="2" s="1"/>
  <c r="F35" i="2"/>
  <c r="G35" i="2"/>
  <c r="M35" i="2" s="1"/>
  <c r="F30" i="2"/>
  <c r="G30" i="2"/>
  <c r="M30" i="2" s="1"/>
  <c r="P33" i="2"/>
  <c r="P29" i="2"/>
  <c r="P23" i="2"/>
  <c r="P28" i="2"/>
  <c r="P22" i="2"/>
  <c r="P36" i="2"/>
  <c r="P32" i="2"/>
  <c r="P27" i="2"/>
  <c r="P21" i="2"/>
  <c r="P20" i="2"/>
  <c r="D31" i="2"/>
  <c r="E31" i="2" s="1"/>
  <c r="O31" i="2"/>
  <c r="P25" i="2"/>
  <c r="P34" i="2"/>
  <c r="P30" i="2"/>
  <c r="D11" i="2"/>
  <c r="E11" i="2" s="1"/>
  <c r="G11" i="2" s="1"/>
  <c r="D10" i="2"/>
  <c r="E10" i="2" s="1"/>
  <c r="F10" i="2" s="1"/>
  <c r="D9" i="2"/>
  <c r="E9" i="2" s="1"/>
  <c r="F9" i="2" s="1"/>
  <c r="O13" i="2"/>
  <c r="D8" i="2"/>
  <c r="E8" i="2" s="1"/>
  <c r="G8" i="2" s="1"/>
  <c r="G8" i="1" s="1"/>
  <c r="D7" i="2"/>
  <c r="E7" i="2" s="1"/>
  <c r="F7" i="2" s="1"/>
  <c r="D6" i="2"/>
  <c r="E6" i="2" s="1"/>
  <c r="G6" i="2" s="1"/>
  <c r="G6" i="1" s="1"/>
  <c r="F12" i="2"/>
  <c r="G12" i="2"/>
  <c r="F14" i="2"/>
  <c r="G14" i="2"/>
  <c r="G10" i="2"/>
  <c r="F13" i="2"/>
  <c r="G13" i="2"/>
  <c r="P12" i="2"/>
  <c r="P11" i="2"/>
  <c r="P14" i="2"/>
  <c r="D5" i="2"/>
  <c r="E5" i="2" s="1"/>
  <c r="F5" i="2" s="1"/>
  <c r="H6" i="2" s="1"/>
  <c r="F39" i="2" l="1"/>
  <c r="G39" i="2"/>
  <c r="M39" i="2" s="1"/>
  <c r="F42" i="2"/>
  <c r="G42" i="2"/>
  <c r="M42" i="2" s="1"/>
  <c r="F45" i="2"/>
  <c r="G45" i="2"/>
  <c r="M45" i="2" s="1"/>
  <c r="G36" i="2"/>
  <c r="M36" i="2" s="1"/>
  <c r="F11" i="2"/>
  <c r="G32" i="2"/>
  <c r="M32" i="2" s="1"/>
  <c r="G7" i="2"/>
  <c r="G7" i="1" s="1"/>
  <c r="F31" i="2"/>
  <c r="G31" i="2"/>
  <c r="M31" i="2" s="1"/>
  <c r="F6" i="2"/>
  <c r="H7" i="2" s="1"/>
  <c r="H8" i="2" s="1"/>
  <c r="G9" i="2"/>
  <c r="F8" i="2"/>
  <c r="M6" i="2"/>
  <c r="F6" i="1" s="1"/>
  <c r="M9" i="2"/>
  <c r="M7" i="2"/>
  <c r="F7" i="1" s="1"/>
  <c r="M11" i="2"/>
  <c r="M12" i="2"/>
  <c r="M10" i="2"/>
  <c r="M13" i="2"/>
  <c r="M14" i="2"/>
  <c r="M8" i="2"/>
  <c r="F8" i="1" s="1"/>
  <c r="G5" i="2"/>
  <c r="H9" i="2" l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M5" i="2"/>
  <c r="F5" i="1" s="1"/>
  <c r="G5" i="1"/>
  <c r="I5" i="2"/>
  <c r="I6" i="2" s="1"/>
  <c r="J5" i="2"/>
  <c r="K5" i="2"/>
  <c r="O6" i="2" l="1"/>
  <c r="I6" i="1" s="1"/>
  <c r="P6" i="2"/>
  <c r="J6" i="1" s="1"/>
  <c r="L6" i="2"/>
  <c r="E6" i="1" s="1"/>
  <c r="N6" i="2"/>
  <c r="H6" i="1" s="1"/>
  <c r="Q6" i="2"/>
  <c r="R6" i="2"/>
  <c r="I7" i="2"/>
  <c r="S6" i="2"/>
  <c r="M6" i="1" s="1"/>
  <c r="P8" i="2"/>
  <c r="J8" i="1" s="1"/>
  <c r="O8" i="2"/>
  <c r="I8" i="1" s="1"/>
  <c r="R5" i="2"/>
  <c r="Q5" i="2"/>
  <c r="K5" i="1" s="1"/>
  <c r="L5" i="2"/>
  <c r="E5" i="1" s="1"/>
  <c r="O5" i="2"/>
  <c r="I5" i="1" s="1"/>
  <c r="P5" i="2"/>
  <c r="J5" i="1" s="1"/>
  <c r="S5" i="2"/>
  <c r="M5" i="1" s="1"/>
  <c r="N5" i="2"/>
  <c r="H5" i="1" s="1"/>
  <c r="L5" i="1" l="1"/>
  <c r="O7" i="2"/>
  <c r="I7" i="1" s="1"/>
  <c r="P7" i="2"/>
  <c r="J7" i="1" s="1"/>
  <c r="L6" i="1"/>
  <c r="K6" i="1"/>
  <c r="L7" i="2"/>
  <c r="E7" i="1" s="1"/>
  <c r="S7" i="2"/>
  <c r="M7" i="1" s="1"/>
  <c r="R7" i="2"/>
  <c r="N7" i="2"/>
  <c r="K7" i="1" s="1"/>
  <c r="I8" i="2"/>
  <c r="Q7" i="2"/>
  <c r="L7" i="1" s="1"/>
  <c r="P9" i="2"/>
  <c r="O9" i="2"/>
  <c r="N8" i="2" l="1"/>
  <c r="L8" i="2"/>
  <c r="I9" i="2"/>
  <c r="S8" i="2"/>
  <c r="M8" i="1" s="1"/>
  <c r="R8" i="2"/>
  <c r="Q8" i="2"/>
  <c r="L8" i="1" s="1"/>
  <c r="P10" i="2"/>
  <c r="O10" i="2"/>
  <c r="N9" i="2" l="1"/>
  <c r="Q9" i="2"/>
  <c r="S9" i="2"/>
  <c r="L9" i="2"/>
  <c r="R9" i="2"/>
  <c r="I10" i="2"/>
  <c r="R10" i="2" l="1"/>
  <c r="I11" i="2"/>
  <c r="N10" i="2"/>
  <c r="Q10" i="2"/>
  <c r="S10" i="2"/>
  <c r="L10" i="2"/>
  <c r="N11" i="2" l="1"/>
  <c r="S11" i="2"/>
  <c r="R11" i="2"/>
  <c r="I12" i="2"/>
  <c r="Q11" i="2"/>
  <c r="L11" i="2"/>
  <c r="S12" i="2" l="1"/>
  <c r="N12" i="2"/>
  <c r="L12" i="2"/>
  <c r="R12" i="2"/>
  <c r="Q12" i="2"/>
  <c r="I13" i="2"/>
  <c r="Q13" i="2" l="1"/>
  <c r="L13" i="2"/>
  <c r="S13" i="2"/>
  <c r="N13" i="2"/>
  <c r="R13" i="2"/>
  <c r="I14" i="2"/>
  <c r="L14" i="2" l="1"/>
  <c r="Q14" i="2"/>
  <c r="I15" i="2"/>
  <c r="S14" i="2"/>
  <c r="N14" i="2"/>
  <c r="R14" i="2"/>
  <c r="L15" i="2" l="1"/>
  <c r="S15" i="2"/>
  <c r="N15" i="2"/>
  <c r="I16" i="2"/>
  <c r="R15" i="2"/>
  <c r="Q15" i="2"/>
  <c r="N16" i="2" l="1"/>
  <c r="R16" i="2"/>
  <c r="Q16" i="2"/>
  <c r="S16" i="2"/>
  <c r="L16" i="2"/>
  <c r="I17" i="2"/>
  <c r="S17" i="2" l="1"/>
  <c r="N17" i="2"/>
  <c r="L17" i="2"/>
  <c r="R17" i="2"/>
  <c r="I18" i="2"/>
  <c r="Q17" i="2"/>
  <c r="R18" i="2" l="1"/>
  <c r="L18" i="2"/>
  <c r="N18" i="2"/>
  <c r="S18" i="2"/>
  <c r="Q18" i="2"/>
  <c r="I19" i="2"/>
  <c r="I20" i="2" l="1"/>
  <c r="S19" i="2"/>
  <c r="R19" i="2"/>
  <c r="L19" i="2"/>
  <c r="Q19" i="2"/>
  <c r="N19" i="2"/>
  <c r="N20" i="2" l="1"/>
  <c r="L20" i="2"/>
  <c r="Q20" i="2"/>
  <c r="M24" i="2"/>
  <c r="G24" i="2"/>
  <c r="M22" i="2"/>
  <c r="G22" i="2"/>
  <c r="H60" i="2"/>
  <c r="H59" i="2"/>
  <c r="H58" i="2"/>
  <c r="H57" i="2"/>
  <c r="H56" i="2"/>
  <c r="H55" i="2"/>
  <c r="H54" i="2"/>
  <c r="H53" i="2"/>
  <c r="H52" i="2"/>
  <c r="H51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M27" i="2"/>
  <c r="G27" i="2"/>
  <c r="F25" i="2"/>
  <c r="R43" i="2"/>
  <c r="Q43" i="2"/>
  <c r="N43" i="2"/>
  <c r="L43" i="2"/>
  <c r="S43" i="2"/>
  <c r="L33" i="2"/>
  <c r="R33" i="2"/>
  <c r="N33" i="2"/>
  <c r="Q33" i="2"/>
  <c r="S33" i="2"/>
  <c r="G20" i="2"/>
  <c r="M20" i="2"/>
  <c r="R50" i="2"/>
  <c r="N50" i="2"/>
  <c r="Q50" i="2"/>
  <c r="S50" i="2"/>
  <c r="L50" i="2"/>
  <c r="R20" i="2"/>
  <c r="S20" i="2"/>
  <c r="N34" i="2"/>
  <c r="R34" i="2"/>
  <c r="L34" i="2"/>
  <c r="S34" i="2"/>
  <c r="Q34" i="2"/>
  <c r="N49" i="2"/>
  <c r="R49" i="2"/>
  <c r="Q49" i="2"/>
  <c r="L49" i="2"/>
  <c r="S49" i="2"/>
  <c r="S31" i="2"/>
  <c r="Q31" i="2"/>
  <c r="R31" i="2"/>
  <c r="N31" i="2"/>
  <c r="L31" i="2"/>
  <c r="L51" i="2"/>
  <c r="N51" i="2"/>
  <c r="S51" i="2"/>
  <c r="Q51" i="2"/>
  <c r="R51" i="2"/>
  <c r="M21" i="2"/>
  <c r="G21" i="2"/>
  <c r="L46" i="2"/>
  <c r="Q46" i="2"/>
  <c r="R46" i="2"/>
  <c r="S46" i="2"/>
  <c r="N46" i="2"/>
  <c r="M26" i="2"/>
  <c r="G26" i="2"/>
  <c r="F23" i="2"/>
  <c r="R44" i="2"/>
  <c r="Q44" i="2"/>
  <c r="S44" i="2"/>
  <c r="N44" i="2"/>
  <c r="L44" i="2"/>
  <c r="Q42" i="2"/>
  <c r="L42" i="2"/>
  <c r="R42" i="2"/>
  <c r="S42" i="2"/>
  <c r="N42" i="2"/>
  <c r="Q30" i="2"/>
  <c r="N30" i="2"/>
  <c r="S30" i="2"/>
  <c r="L30" i="2"/>
  <c r="R30" i="2"/>
  <c r="B21" i="2"/>
  <c r="D21" i="2"/>
  <c r="E21" i="2"/>
  <c r="F21" i="2"/>
  <c r="F29" i="2"/>
  <c r="Q41" i="2"/>
  <c r="N41" i="2"/>
  <c r="L41" i="2"/>
  <c r="S41" i="2"/>
  <c r="R41" i="2"/>
  <c r="B22" i="2"/>
  <c r="D22" i="2"/>
  <c r="E22" i="2"/>
  <c r="F22" i="2"/>
  <c r="B26" i="2"/>
  <c r="D26" i="2"/>
  <c r="E26" i="2"/>
  <c r="F26" i="2"/>
  <c r="Q21" i="2"/>
  <c r="S21" i="2"/>
  <c r="L21" i="2"/>
  <c r="R21" i="2"/>
  <c r="N21" i="2"/>
  <c r="B23" i="2"/>
  <c r="D23" i="2"/>
  <c r="E23" i="2"/>
  <c r="G23" i="2"/>
  <c r="M23" i="2"/>
  <c r="M28" i="2"/>
  <c r="G28" i="2"/>
  <c r="B29" i="2"/>
  <c r="D29" i="2"/>
  <c r="E29" i="2"/>
  <c r="G29" i="2"/>
  <c r="M29" i="2"/>
  <c r="B27" i="2"/>
  <c r="D27" i="2"/>
  <c r="E27" i="2"/>
  <c r="F27" i="2"/>
  <c r="L32" i="2"/>
  <c r="Q32" i="2"/>
  <c r="S32" i="2"/>
  <c r="N32" i="2"/>
  <c r="R32" i="2"/>
  <c r="S29" i="2"/>
  <c r="L29" i="2"/>
  <c r="R29" i="2"/>
  <c r="Q29" i="2"/>
  <c r="N29" i="2"/>
  <c r="N28" i="2"/>
  <c r="R28" i="2"/>
  <c r="L28" i="2"/>
  <c r="Q28" i="2"/>
  <c r="S28" i="2"/>
  <c r="L39" i="2"/>
  <c r="N39" i="2"/>
  <c r="Q39" i="2"/>
  <c r="R39" i="2"/>
  <c r="S39" i="2"/>
  <c r="R25" i="2"/>
  <c r="N25" i="2"/>
  <c r="S25" i="2"/>
  <c r="L25" i="2"/>
  <c r="Q25" i="2"/>
  <c r="Q48" i="2"/>
  <c r="R48" i="2"/>
  <c r="L48" i="2"/>
  <c r="S48" i="2"/>
  <c r="N48" i="2"/>
  <c r="Q36" i="2"/>
  <c r="R36" i="2"/>
  <c r="N36" i="2"/>
  <c r="L36" i="2"/>
  <c r="S36" i="2"/>
  <c r="B28" i="2"/>
  <c r="D28" i="2"/>
  <c r="E28" i="2"/>
  <c r="F28" i="2"/>
  <c r="L37" i="2"/>
  <c r="N37" i="2"/>
  <c r="R37" i="2"/>
  <c r="Q37" i="2"/>
  <c r="S37" i="2"/>
  <c r="S45" i="2"/>
  <c r="L45" i="2"/>
  <c r="Q45" i="2"/>
  <c r="N45" i="2"/>
  <c r="R45" i="2"/>
  <c r="R58" i="2"/>
  <c r="L58" i="2"/>
  <c r="N58" i="2"/>
  <c r="S58" i="2"/>
  <c r="Q58" i="2"/>
  <c r="R54" i="2"/>
  <c r="L54" i="2"/>
  <c r="Q54" i="2"/>
  <c r="S54" i="2"/>
  <c r="N54" i="2"/>
  <c r="Q23" i="2"/>
  <c r="N23" i="2"/>
  <c r="R23" i="2"/>
  <c r="L23" i="2"/>
  <c r="S23" i="2"/>
  <c r="B24" i="2"/>
  <c r="D24" i="2"/>
  <c r="E24" i="2"/>
  <c r="F24" i="2"/>
  <c r="Q24" i="2"/>
  <c r="R24" i="2"/>
  <c r="N24" i="2"/>
  <c r="S24" i="2"/>
  <c r="L24" i="2"/>
  <c r="Q35" i="2"/>
  <c r="S35" i="2"/>
  <c r="L35" i="2"/>
  <c r="R35" i="2"/>
  <c r="N35" i="2"/>
  <c r="S59" i="2"/>
  <c r="Q59" i="2"/>
  <c r="N59" i="2"/>
  <c r="L59" i="2"/>
  <c r="R59" i="2"/>
  <c r="S38" i="2"/>
  <c r="R38" i="2"/>
  <c r="N38" i="2"/>
  <c r="L38" i="2"/>
  <c r="Q38" i="2"/>
  <c r="Q53" i="2"/>
  <c r="N53" i="2"/>
  <c r="S53" i="2"/>
  <c r="R53" i="2"/>
  <c r="L53" i="2"/>
  <c r="Q52" i="2"/>
  <c r="S52" i="2"/>
  <c r="L52" i="2"/>
  <c r="R52" i="2"/>
  <c r="N52" i="2"/>
  <c r="N57" i="2"/>
  <c r="Q57" i="2"/>
  <c r="R57" i="2"/>
  <c r="S57" i="2"/>
  <c r="L57" i="2"/>
  <c r="Q55" i="2"/>
  <c r="S55" i="2"/>
  <c r="R55" i="2"/>
  <c r="N55" i="2"/>
  <c r="L55" i="2"/>
  <c r="Q22" i="2"/>
  <c r="N22" i="2"/>
  <c r="R22" i="2"/>
  <c r="S22" i="2"/>
  <c r="L22" i="2"/>
  <c r="N56" i="2"/>
  <c r="S56" i="2"/>
  <c r="Q56" i="2"/>
  <c r="R56" i="2"/>
  <c r="L56" i="2"/>
  <c r="L27" i="2"/>
  <c r="N27" i="2"/>
  <c r="Q27" i="2"/>
  <c r="R27" i="2"/>
  <c r="S27" i="2"/>
  <c r="L60" i="2"/>
  <c r="N60" i="2"/>
  <c r="Q60" i="2"/>
  <c r="S60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R60" i="2"/>
  <c r="L26" i="2"/>
  <c r="S26" i="2"/>
  <c r="R26" i="2"/>
  <c r="N26" i="2"/>
  <c r="Q26" i="2"/>
  <c r="R47" i="2"/>
  <c r="Q47" i="2"/>
  <c r="N47" i="2"/>
  <c r="S47" i="2"/>
  <c r="I41" i="2"/>
  <c r="I42" i="2"/>
  <c r="I43" i="2"/>
  <c r="I44" i="2"/>
  <c r="I45" i="2"/>
  <c r="I46" i="2"/>
  <c r="I47" i="2"/>
  <c r="L47" i="2"/>
  <c r="B25" i="2"/>
  <c r="D25" i="2"/>
  <c r="E25" i="2"/>
  <c r="G25" i="2"/>
  <c r="M25" i="2"/>
  <c r="Q40" i="2"/>
  <c r="S40" i="2"/>
  <c r="N40" i="2"/>
  <c r="R40" i="2"/>
  <c r="B20" i="2"/>
  <c r="D20" i="2"/>
  <c r="E20" i="2"/>
  <c r="F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L40" i="2"/>
</calcChain>
</file>

<file path=xl/sharedStrings.xml><?xml version="1.0" encoding="utf-8"?>
<sst xmlns="http://schemas.openxmlformats.org/spreadsheetml/2006/main" count="111" uniqueCount="110">
  <si>
    <t>Base_IP</t>
  </si>
  <si>
    <t>Síť 1</t>
  </si>
  <si>
    <t>Síť 2</t>
  </si>
  <si>
    <t>Síť 3</t>
  </si>
  <si>
    <t>Síť 4</t>
  </si>
  <si>
    <t>Síť 5</t>
  </si>
  <si>
    <t>Síť 6</t>
  </si>
  <si>
    <t>Síť 7</t>
  </si>
  <si>
    <t>Síť 8</t>
  </si>
  <si>
    <t>Síť 9</t>
  </si>
  <si>
    <t>Síť 10</t>
  </si>
  <si>
    <t>Základní zadaná IP</t>
  </si>
  <si>
    <t>Název/Barva</t>
  </si>
  <si>
    <t>Počet SW</t>
  </si>
  <si>
    <t>Name/Color</t>
  </si>
  <si>
    <t>Host Req. (PC)</t>
  </si>
  <si>
    <t>SW Count</t>
  </si>
  <si>
    <t>Total Req. (H)</t>
  </si>
  <si>
    <t>Host Bits (h)</t>
  </si>
  <si>
    <t>Block Size</t>
  </si>
  <si>
    <t>Prefix (PR)</t>
  </si>
  <si>
    <t>AS (IP)</t>
  </si>
  <si>
    <t>Maska (MA)</t>
  </si>
  <si>
    <t>Gateway (GW)</t>
  </si>
  <si>
    <t>SW First</t>
  </si>
  <si>
    <t>SW Last</t>
  </si>
  <si>
    <t>PC First</t>
  </si>
  <si>
    <t>PC Last</t>
  </si>
  <si>
    <t>Broadcast (BR)</t>
  </si>
  <si>
    <t>Maska podsítě (MA)</t>
  </si>
  <si>
    <t>Host Bity (h)</t>
  </si>
  <si>
    <t>Velikost bloku (Adres)</t>
  </si>
  <si>
    <t>Použitelní hosté (Hosté)</t>
  </si>
  <si>
    <t>2 (Point-to-Point)</t>
  </si>
  <si>
    <t>1 (Host Route)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</si>
  <si>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</si>
  <si>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</si>
  <si>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</si>
  <si>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</si>
  <si>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</si>
  <si>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</si>
  <si>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</si>
  <si>
    <t>255.255.255.254</t>
  </si>
  <si>
    <t>255.255.255.255</t>
  </si>
  <si>
    <t>172.16.1.1</t>
  </si>
  <si>
    <t>FIRST OCT</t>
  </si>
  <si>
    <t>SECOND OCT</t>
  </si>
  <si>
    <t>THIRD OCT</t>
  </si>
  <si>
    <t>FOURTH OCT</t>
  </si>
  <si>
    <t>Síť 11</t>
  </si>
  <si>
    <t>Síť 12</t>
  </si>
  <si>
    <t>Síť 13</t>
  </si>
  <si>
    <t>Síť 14</t>
  </si>
  <si>
    <t>Síť 15</t>
  </si>
  <si>
    <t>Síť 16</t>
  </si>
  <si>
    <t>Síť 17</t>
  </si>
  <si>
    <t>Síť 18</t>
  </si>
  <si>
    <t>Síť 19</t>
  </si>
  <si>
    <t>Síť 20</t>
  </si>
  <si>
    <t>Síť 21</t>
  </si>
  <si>
    <t>Síť 22</t>
  </si>
  <si>
    <t>Síť 23</t>
  </si>
  <si>
    <t>Síť 24</t>
  </si>
  <si>
    <t>Síť 25</t>
  </si>
  <si>
    <t>Síť 26</t>
  </si>
  <si>
    <t>Síť 27</t>
  </si>
  <si>
    <t>Síť 28</t>
  </si>
  <si>
    <t>Síť 29</t>
  </si>
  <si>
    <t>Síť 30</t>
  </si>
  <si>
    <t>Síť 31</t>
  </si>
  <si>
    <t>Síť 32</t>
  </si>
  <si>
    <t>Síť 33</t>
  </si>
  <si>
    <t>Síť 34</t>
  </si>
  <si>
    <t>Síť 35</t>
  </si>
  <si>
    <t>Síť 36</t>
  </si>
  <si>
    <t>Síť 37</t>
  </si>
  <si>
    <t>Síť 38</t>
  </si>
  <si>
    <t>Síť 39</t>
  </si>
  <si>
    <t>Síť 40</t>
  </si>
  <si>
    <t>Síť 41</t>
  </si>
  <si>
    <t>Síť 42</t>
  </si>
  <si>
    <t>Síť 43</t>
  </si>
  <si>
    <t>Síť 44</t>
  </si>
  <si>
    <t>Síť 45</t>
  </si>
  <si>
    <t>Síť 46</t>
  </si>
  <si>
    <t>Síť 47</t>
  </si>
  <si>
    <t>Síť 48</t>
  </si>
  <si>
    <t>Síť 49</t>
  </si>
  <si>
    <t>Síť 50</t>
  </si>
  <si>
    <t>Síť 51</t>
  </si>
  <si>
    <t>Síť 52</t>
  </si>
  <si>
    <t>Síť 53</t>
  </si>
  <si>
    <t>Síť 54</t>
  </si>
  <si>
    <t>Síť 55</t>
  </si>
  <si>
    <t>Síť 56</t>
  </si>
  <si>
    <t>!TABULKA POČÍTÁ S MINIMÁLNĚ S 1 SW A PŮVODNÍ ADRESOU KONČÍCÍ 0</t>
  </si>
  <si>
    <t>Počet PC/R</t>
  </si>
  <si>
    <t>TATO BARVA = UPRAVIT</t>
  </si>
  <si>
    <t>MAXIMÁLNÍ POČET PODSÍŤÍ - 56 (lze navýšit)</t>
  </si>
  <si>
    <t>První Switch</t>
  </si>
  <si>
    <t>Poslední Switch</t>
  </si>
  <si>
    <t>První použitelná IP</t>
  </si>
  <si>
    <t>Poslední použitelná IP</t>
  </si>
  <si>
    <t>Mezi R?</t>
  </si>
  <si>
    <t>Lze zadat sítě náhodně, poté je seřadit</t>
  </si>
  <si>
    <t>Adresa Sítě</t>
  </si>
  <si>
    <t>Maska</t>
  </si>
  <si>
    <t>Prefix</t>
  </si>
  <si>
    <t>Gateway</t>
  </si>
  <si>
    <t>Broadcast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</si>
</sst>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 Unicode MS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8" fillId="4" borderId="3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5" fillId="0" borderId="0" xfId="0" applyFont="1"/>
    <xf numFmtId="1" fontId="0" fillId="0" borderId="0" xfId="0" applyNumberFormat="1"/>
    <xf numFmtId="1" fontId="2" fillId="0" borderId="0" xfId="0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wrapText="1"/>
    </xf>
    <xf numFmtId="49" fontId="0" fillId="2" borderId="0" xfId="1" applyNumberFormat="1" applyFont="1"/>
    <xf numFmtId="0" fontId="7" fillId="0" borderId="0" xfId="0" applyFont="1"/>
    <xf numFmtId="0" fontId="4" fillId="3" borderId="0" xfId="2" applyAlignment="1">
      <alignment horizontal="center"/>
    </xf>
    <xf numFmtId="49" fontId="5" fillId="0" borderId="0" xfId="0" applyNumberFormat="1" applyFont="1"/>
    <xf numFmtId="0" fontId="0" fillId="5" borderId="0" xfId="4" applyFont="1" applyAlignment="1">
      <alignment horizontal="center"/>
    </xf>
    <xf numFmtId="0" fontId="8" fillId="4" borderId="3" xfId="3" applyAlignment="1">
      <alignment horizontal="center"/>
    </xf>
    <xf numFmtId="1" fontId="1" fillId="2" borderId="4" xfId="1" applyNumberFormat="1" applyBorder="1" applyAlignment="1">
      <alignment horizontal="left"/>
    </xf>
    <xf numFmtId="0" fontId="0" fillId="2" borderId="4" xfId="1" applyFont="1" applyBorder="1"/>
    <xf numFmtId="0" fontId="0" fillId="0" borderId="4" xfId="0" applyBorder="1"/>
    <xf numFmtId="0" fontId="1" fillId="2" borderId="4" xfId="1" applyBorder="1"/>
    <xf numFmtId="0" fontId="1" fillId="6" borderId="0" xfId="5" applyAlignment="1">
      <alignment horizontal="center" vertical="center"/>
    </xf>
    <xf numFmtId="0" fontId="1" fillId="6" borderId="2" xfId="5" applyBorder="1" applyAlignment="1">
      <alignment horizontal="center" vertical="center"/>
    </xf>
  </cellXfs>
  <cellStyles count="6">
    <cellStyle name="20% - Accent1" xfId="1" builtinId="30"/>
    <cellStyle name="20% - Accent4" xfId="4" builtinId="42"/>
    <cellStyle name="20% - Accent6" xfId="5" builtinId="50"/>
    <cellStyle name="Bad" xfId="2" builtinId="27"/>
    <cellStyle name="Check Cell" xfId="3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7177-5EAC-445E-B392-5A8EA46BE01C}">
  <dimension ref="A1:M6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3" sqref="F13"/>
    </sheetView>
  </sheetViews>
  <sheetFormatPr defaultRowHeight="15" x14ac:dyDescent="0.25"/>
  <cols>
    <col min="1" max="1" width="15.7109375" bestFit="1" customWidth="1"/>
    <col min="2" max="2" width="14.5703125" bestFit="1" customWidth="1"/>
    <col min="3" max="3" width="18.140625" bestFit="1" customWidth="1"/>
    <col min="4" max="4" width="9.85546875" bestFit="1" customWidth="1"/>
    <col min="5" max="5" width="14.42578125" bestFit="1" customWidth="1"/>
    <col min="6" max="6" width="8.85546875" bestFit="1" customWidth="1"/>
    <col min="7" max="7" width="7.85546875" bestFit="1" customWidth="1"/>
    <col min="8" max="8" width="11.42578125" bestFit="1" customWidth="1"/>
    <col min="9" max="9" width="15.140625" bestFit="1" customWidth="1"/>
    <col min="10" max="10" width="19.5703125" bestFit="1" customWidth="1"/>
    <col min="11" max="11" width="22.5703125" bestFit="1" customWidth="1"/>
    <col min="12" max="12" width="27" bestFit="1" customWidth="1"/>
    <col min="13" max="13" width="13.140625" bestFit="1" customWidth="1"/>
  </cols>
  <sheetData>
    <row r="1" spans="1:13" ht="16.5" thickTop="1" thickBot="1" x14ac:dyDescent="0.3">
      <c r="A1" s="10" t="s">
        <v>95</v>
      </c>
      <c r="B1" s="10"/>
      <c r="C1" s="10"/>
      <c r="D1" s="10"/>
      <c r="E1" s="10"/>
      <c r="F1" s="12" t="s">
        <v>97</v>
      </c>
      <c r="G1" s="12"/>
      <c r="H1" s="12"/>
      <c r="I1" s="10" t="s">
        <v>98</v>
      </c>
      <c r="J1" s="10"/>
      <c r="K1" s="10"/>
      <c r="L1" s="13" t="s">
        <v>104</v>
      </c>
      <c r="M1" s="13"/>
    </row>
    <row r="2" spans="1:13" ht="15.75" thickTop="1" x14ac:dyDescent="0.25">
      <c r="A2" t="s">
        <v>0</v>
      </c>
      <c r="B2" s="8"/>
      <c r="C2" t="s">
        <v>11</v>
      </c>
    </row>
    <row r="4" spans="1:13" x14ac:dyDescent="0.25">
      <c r="A4" s="18" t="s">
        <v>12</v>
      </c>
      <c r="B4" s="18" t="s">
        <v>96</v>
      </c>
      <c r="C4" s="18" t="s">
        <v>13</v>
      </c>
      <c r="D4" s="18" t="s">
        <v>103</v>
      </c>
      <c r="E4" s="19" t="s">
        <v>105</v>
      </c>
      <c r="F4" s="18" t="s">
        <v>106</v>
      </c>
      <c r="G4" s="18" t="s">
        <v>107</v>
      </c>
      <c r="H4" s="18" t="s">
        <v>108</v>
      </c>
      <c r="I4" s="18" t="s">
        <v>99</v>
      </c>
      <c r="J4" s="18" t="s">
        <v>100</v>
      </c>
      <c r="K4" s="18" t="s">
        <v>101</v>
      </c>
      <c r="L4" s="18" t="s">
        <v>102</v>
      </c>
      <c r="M4" s="18" t="s">
        <v>109</v>
      </c>
    </row>
    <row r="5" spans="1:13" x14ac:dyDescent="0.25">
      <c r="A5" t="s">
        <v>1</v>
      </c>
      <c r="B5" s="14"/>
      <c r="C5" s="14"/>
      <c r="D5" s="15"/>
      <c r="E5" s="16" t="str">
        <f>IF($B5="","",Count!L5)</f>
        <v/>
      </c>
      <c r="F5" s="16" t="str">
        <f>IF($B5="","",Count!M5)</f>
        <v/>
      </c>
      <c r="G5" s="16" t="str">
        <f>IF($B5="","",_xlfn.CONCAT("/",Count!G5))</f>
        <v/>
      </c>
      <c r="H5" s="16" t="str">
        <f>IF(C5="","",IF($D5="A","Gateway Není",Count!N5))</f>
        <v/>
      </c>
      <c r="I5" s="16" t="str">
        <f>IF(C5="","",IF($D5="A","Switch Není",Count!O5))</f>
        <v/>
      </c>
      <c r="J5" s="16" t="str">
        <f>IF(C5="","",IF($D5="A","Switch Není", Count!P5))</f>
        <v/>
      </c>
      <c r="K5" s="16" t="str">
        <f>IF(C5="","",IF($D5="N",Count!Q5,_xlfn.CONCAT("R1 - ",Count!N5)))</f>
        <v/>
      </c>
      <c r="L5" s="16" t="str">
        <f>IF(C5="","",IF($D5="N",Count!R5,_xlfn.CONCAT("R2 - ",Count!Q5)))</f>
        <v/>
      </c>
      <c r="M5" s="16" t="str">
        <f>IF($B5="","",Count!S5)</f>
        <v/>
      </c>
    </row>
    <row r="6" spans="1:13" x14ac:dyDescent="0.25">
      <c r="A6" t="s">
        <v>2</v>
      </c>
      <c r="B6" s="14"/>
      <c r="C6" s="14"/>
      <c r="D6" s="15"/>
      <c r="E6" s="16" t="str">
        <f>IF($B6="","",Count!L6)</f>
        <v/>
      </c>
      <c r="F6" s="16" t="str">
        <f>IF($B6="","",Count!M6)</f>
        <v/>
      </c>
      <c r="G6" s="16" t="str">
        <f>IF($B6="","",_xlfn.CONCAT("/",Count!G6))</f>
        <v/>
      </c>
      <c r="H6" s="16" t="str">
        <f>IF(C6="","",IF($D6="A","Gateway Není",Count!N6))</f>
        <v/>
      </c>
      <c r="I6" s="16" t="str">
        <f>IF(C6="","",IF($D6="A","Switch Není",Count!O6))</f>
        <v/>
      </c>
      <c r="J6" s="16" t="str">
        <f>IF(C6="","",IF($D6="A","Switch Není", Count!P6))</f>
        <v/>
      </c>
      <c r="K6" s="16" t="str">
        <f>IF(C6="","",IF($D6="N",Count!Q6,_xlfn.CONCAT("R1 - ",Count!N6)))</f>
        <v/>
      </c>
      <c r="L6" s="16" t="str">
        <f>IF(C6="","",IF($D6="N",Count!R6,_xlfn.CONCAT("R2 - ",Count!Q6)))</f>
        <v/>
      </c>
      <c r="M6" s="16" t="str">
        <f>IF($B6="","",Count!S6)</f>
        <v/>
      </c>
    </row>
    <row r="7" spans="1:13" x14ac:dyDescent="0.25">
      <c r="A7" t="s">
        <v>3</v>
      </c>
      <c r="B7" s="14"/>
      <c r="C7" s="14"/>
      <c r="D7" s="15"/>
      <c r="E7" s="16" t="str">
        <f>IF($B7="","",Count!L7)</f>
        <v/>
      </c>
      <c r="F7" s="16" t="str">
        <f>IF($B7="","",Count!M7)</f>
        <v/>
      </c>
      <c r="G7" s="16" t="str">
        <f>IF($B7="","",_xlfn.CONCAT("/",Count!G7))</f>
        <v/>
      </c>
      <c r="H7" s="16" t="str">
        <f>IF(C7="","",IF($D7="A","Gateway Není",Count!N7))</f>
        <v/>
      </c>
      <c r="I7" s="16" t="str">
        <f>IF(C7="","",IF($D7="A","Switch Není",Count!O7))</f>
        <v/>
      </c>
      <c r="J7" s="16" t="str">
        <f>IF(C7="","",IF($D7="A","Switch Není", Count!P7))</f>
        <v/>
      </c>
      <c r="K7" s="16" t="str">
        <f>IF(C7="","",IF($D7="N",Count!Q7,_xlfn.CONCAT("R1 - ",Count!N7)))</f>
        <v/>
      </c>
      <c r="L7" s="16" t="str">
        <f>IF(C7="","",IF($D7="N",Count!R7,_xlfn.CONCAT("R2 - ",Count!Q7)))</f>
        <v/>
      </c>
      <c r="M7" s="16" t="str">
        <f>IF($B7="","",Count!S7)</f>
        <v/>
      </c>
    </row>
    <row r="8" spans="1:13" x14ac:dyDescent="0.25">
      <c r="A8" t="s">
        <v>4</v>
      </c>
      <c r="B8" s="14"/>
      <c r="C8" s="14"/>
      <c r="D8" s="15"/>
      <c r="E8" s="16" t="str">
        <f>IF($B8="","",Count!L8)</f>
        <v/>
      </c>
      <c r="F8" s="16" t="str">
        <f>IF($B8="","",Count!M8)</f>
        <v/>
      </c>
      <c r="G8" s="16" t="str">
        <f>IF($B8="","",_xlfn.CONCAT("/",Count!G8))</f>
        <v/>
      </c>
      <c r="H8" s="16" t="str">
        <f>IF(C8="","",IF($D8="A","Gateway Není",Count!N8))</f>
        <v/>
      </c>
      <c r="I8" s="16" t="str">
        <f>IF(C8="","",IF($D8="A","Switch Není",Count!O8))</f>
        <v/>
      </c>
      <c r="J8" s="16" t="str">
        <f>IF(C8="","",IF($D8="A","Switch Není", Count!P8))</f>
        <v/>
      </c>
      <c r="K8" s="16" t="str">
        <f>IF(C8="","",IF($D8="N",Count!Q8,_xlfn.CONCAT("R1 - ",Count!N8)))</f>
        <v/>
      </c>
      <c r="L8" s="16" t="str">
        <f>IF(C8="","",IF($D8="N",Count!R8,_xlfn.CONCAT("R2 - ",Count!Q8)))</f>
        <v/>
      </c>
      <c r="M8" s="16" t="str">
        <f>IF($B8="","",Count!S8)</f>
        <v/>
      </c>
    </row>
    <row r="9" spans="1:13" x14ac:dyDescent="0.25">
      <c r="A9" t="s">
        <v>5</v>
      </c>
      <c r="B9" s="14"/>
      <c r="C9" s="14"/>
      <c r="D9" s="17"/>
      <c r="E9" s="16" t="str">
        <f>IF($B9="","",Count!L9)</f>
        <v/>
      </c>
      <c r="F9" s="16" t="str">
        <f>IF($B9="","",Count!M9)</f>
        <v/>
      </c>
      <c r="G9" s="16" t="str">
        <f>IF($B9="","",_xlfn.CONCAT("/",Count!G9))</f>
        <v/>
      </c>
      <c r="H9" s="16" t="str">
        <f>IF(C9="","",IF($D9="A","Gateway Není",Count!N9))</f>
        <v/>
      </c>
      <c r="I9" s="16" t="str">
        <f>IF(C9="","",IF($D9="A","Switch Není",Count!O9))</f>
        <v/>
      </c>
      <c r="J9" s="16" t="str">
        <f>IF(C9="","",IF($D9="A","Switch Není", Count!P9))</f>
        <v/>
      </c>
      <c r="K9" s="16" t="str">
        <f>IF(C9="","",IF($D9="N",Count!Q9,_xlfn.CONCAT("R1 - ",Count!N9)))</f>
        <v/>
      </c>
      <c r="L9" s="16"/>
      <c r="M9" s="16" t="str">
        <f>IF($B9="","",Count!S9)</f>
        <v/>
      </c>
    </row>
    <row r="10" spans="1:13" x14ac:dyDescent="0.25">
      <c r="A10" t="s">
        <v>6</v>
      </c>
      <c r="B10" s="14"/>
      <c r="C10" s="14"/>
      <c r="D10" s="17"/>
      <c r="E10" s="16" t="str">
        <f>IF($B10="","",Count!L10)</f>
        <v/>
      </c>
      <c r="F10" s="16" t="str">
        <f>IF($B10="","",Count!M10)</f>
        <v/>
      </c>
      <c r="G10" s="16" t="str">
        <f>IF($B10="","",_xlfn.CONCAT("/",Count!G10))</f>
        <v/>
      </c>
      <c r="H10" s="16" t="str">
        <f>IF(C10="","",IF($D10="A","Gateway Není",Count!N10))</f>
        <v/>
      </c>
      <c r="I10" s="16" t="str">
        <f>IF(C10="","",IF($D10="A","Switch Není",Count!O10))</f>
        <v/>
      </c>
      <c r="J10" s="16" t="str">
        <f>IF(C10="","",IF($D10="A","Switch Není", Count!P10))</f>
        <v/>
      </c>
      <c r="K10" s="16" t="str">
        <f>IF(C10="","",IF($D10="N",Count!Q10,_xlfn.CONCAT("R1 - ",Count!N10)))</f>
        <v/>
      </c>
      <c r="L10" s="16" t="str">
        <f>IF(C10="","",IF($D10="N",Count!R10,_xlfn.CONCAT("R2 - ",Count!Q10)))</f>
        <v/>
      </c>
      <c r="M10" s="16" t="str">
        <f>IF($B10="","",Count!S10)</f>
        <v/>
      </c>
    </row>
    <row r="11" spans="1:13" x14ac:dyDescent="0.25">
      <c r="A11" t="s">
        <v>7</v>
      </c>
      <c r="B11" s="14"/>
      <c r="C11" s="14"/>
      <c r="D11" s="17"/>
      <c r="E11" s="16" t="str">
        <f>IF($B11="","",Count!L11)</f>
        <v/>
      </c>
      <c r="F11" s="16" t="str">
        <f>IF($B11="","",Count!M11)</f>
        <v/>
      </c>
      <c r="G11" s="16" t="str">
        <f>IF($B11="","",_xlfn.CONCAT("/",Count!G11))</f>
        <v/>
      </c>
      <c r="H11" s="16" t="str">
        <f>IF(C11="","",IF($D11="A","Gateway Není",Count!N11))</f>
        <v/>
      </c>
      <c r="I11" s="16" t="str">
        <f>IF(C11="","",IF($D11="A","Switch Není",Count!O11))</f>
        <v/>
      </c>
      <c r="J11" s="16" t="str">
        <f>IF(C11="","",IF($D11="A","Switch Není", Count!P11))</f>
        <v/>
      </c>
      <c r="K11" s="16" t="str">
        <f>IF(C11="","",IF($D11="N",Count!Q11,_xlfn.CONCAT("R1 - ",Count!N11)))</f>
        <v/>
      </c>
      <c r="L11" s="16" t="str">
        <f>IF(C11="","",IF($D11="N",Count!R11,_xlfn.CONCAT("R2 - ",Count!Q11)))</f>
        <v/>
      </c>
      <c r="M11" s="16" t="str">
        <f>IF($B11="","",Count!S11)</f>
        <v/>
      </c>
    </row>
    <row r="12" spans="1:13" x14ac:dyDescent="0.25">
      <c r="A12" t="s">
        <v>8</v>
      </c>
      <c r="B12" s="14"/>
      <c r="C12" s="14"/>
      <c r="D12" s="17"/>
      <c r="E12" s="16" t="str">
        <f>IF($B12="","",Count!L12)</f>
        <v/>
      </c>
      <c r="F12" s="16" t="str">
        <f>IF($B12="","",Count!M12)</f>
        <v/>
      </c>
      <c r="G12" s="16" t="str">
        <f>IF($B12="","",_xlfn.CONCAT("/",Count!G12))</f>
        <v/>
      </c>
      <c r="H12" s="16" t="str">
        <f>IF(C12="","",IF($D12="A","Gateway Není",Count!N12))</f>
        <v/>
      </c>
      <c r="I12" s="16" t="str">
        <f>IF(C12="","",IF($D12="A","Switch Není",Count!O12))</f>
        <v/>
      </c>
      <c r="J12" s="16" t="str">
        <f>IF(C12="","",IF($D12="A","Switch Není", Count!P12))</f>
        <v/>
      </c>
      <c r="K12" s="16" t="str">
        <f>IF(C12="","",IF($D12="N",Count!Q12,_xlfn.CONCAT("R1 - ",Count!N12)))</f>
        <v/>
      </c>
      <c r="L12" s="16" t="str">
        <f>IF(C12="","",IF($D12="N",Count!R12,_xlfn.CONCAT("R2 - ",Count!Q12)))</f>
        <v/>
      </c>
      <c r="M12" s="16" t="str">
        <f>IF($B12="","",Count!S12)</f>
        <v/>
      </c>
    </row>
    <row r="13" spans="1:13" x14ac:dyDescent="0.25">
      <c r="A13" t="s">
        <v>9</v>
      </c>
      <c r="B13" s="14"/>
      <c r="C13" s="14"/>
      <c r="D13" s="17"/>
      <c r="E13" s="16" t="str">
        <f>IF($B13="","",Count!L13)</f>
        <v/>
      </c>
      <c r="F13" s="16" t="str">
        <f>IF($B13="","",Count!M13)</f>
        <v/>
      </c>
      <c r="G13" s="16" t="str">
        <f>IF($B13="","",_xlfn.CONCAT("/",Count!G13))</f>
        <v/>
      </c>
      <c r="H13" s="16" t="str">
        <f>IF(C13="","",IF($D13="A","Gateway Není",Count!N13))</f>
        <v/>
      </c>
      <c r="I13" s="16" t="str">
        <f>IF(C13="","",IF($D13="A","Switch Není",Count!O13))</f>
        <v/>
      </c>
      <c r="J13" s="16" t="str">
        <f>IF(C13="","",IF($D13="A","Switch Není", Count!P13))</f>
        <v/>
      </c>
      <c r="K13" s="16" t="str">
        <f>IF(C13="","",IF($D13="N",Count!Q13,_xlfn.CONCAT("R1 - ",Count!N13)))</f>
        <v/>
      </c>
      <c r="L13" s="16" t="str">
        <f>IF(C13="","",IF($D13="N",Count!R13,_xlfn.CONCAT("R2 - ",Count!Q13)))</f>
        <v/>
      </c>
      <c r="M13" s="16" t="str">
        <f>IF($B13="","",Count!S13)</f>
        <v/>
      </c>
    </row>
    <row r="14" spans="1:13" x14ac:dyDescent="0.25">
      <c r="A14" t="s">
        <v>10</v>
      </c>
      <c r="B14" s="14"/>
      <c r="C14" s="14"/>
      <c r="D14" s="17"/>
      <c r="E14" s="16" t="str">
        <f>IF($B14="","",Count!L14)</f>
        <v/>
      </c>
      <c r="F14" s="16" t="str">
        <f>IF($B14="","",Count!M14)</f>
        <v/>
      </c>
      <c r="G14" s="16" t="str">
        <f>IF($B14="","",_xlfn.CONCAT("/",Count!G14))</f>
        <v/>
      </c>
      <c r="H14" s="16" t="str">
        <f>IF(C14="","",IF($D14="A","Gateway Není",Count!N14))</f>
        <v/>
      </c>
      <c r="I14" s="16" t="str">
        <f>IF(C14="","",IF($D14="A","Switch Není",Count!O14))</f>
        <v/>
      </c>
      <c r="J14" s="16" t="str">
        <f>IF(C14="","",IF($D14="A","Switch Není", Count!P14))</f>
        <v/>
      </c>
      <c r="K14" s="16" t="str">
        <f>IF(C14="","",IF($D14="N",Count!Q14,_xlfn.CONCAT("R1 - ",Count!N14)))</f>
        <v/>
      </c>
      <c r="L14" s="16" t="str">
        <f>IF(C14="","",IF($D14="N",Count!R14,_xlfn.CONCAT("R2 - ",Count!Q14)))</f>
        <v/>
      </c>
      <c r="M14" s="16" t="str">
        <f>IF($B14="","",Count!S14)</f>
        <v/>
      </c>
    </row>
    <row r="15" spans="1:13" x14ac:dyDescent="0.25">
      <c r="A15" t="s">
        <v>49</v>
      </c>
      <c r="B15" s="14"/>
      <c r="C15" s="14"/>
      <c r="D15" s="17"/>
      <c r="E15" s="16" t="str">
        <f>IF($B15="","",Count!L15)</f>
        <v/>
      </c>
      <c r="F15" s="16" t="str">
        <f>IF($B15="","",Count!M15)</f>
        <v/>
      </c>
      <c r="G15" s="16" t="str">
        <f>IF($B15="","",_xlfn.CONCAT("/",Count!G15))</f>
        <v/>
      </c>
      <c r="H15" s="16" t="str">
        <f>IF(C15="","",IF($D15="A","Gateway Není",Count!N15))</f>
        <v/>
      </c>
      <c r="I15" s="16" t="str">
        <f>IF(C15="","",IF($D15="A","Switch Není",Count!O15))</f>
        <v/>
      </c>
      <c r="J15" s="16" t="str">
        <f>IF(C15="","",IF($D15="A","Switch Není", Count!P15))</f>
        <v/>
      </c>
      <c r="K15" s="16" t="str">
        <f>IF(C15="","",IF($D15="N",Count!Q15,_xlfn.CONCAT("R1 - ",Count!N15)))</f>
        <v/>
      </c>
      <c r="L15" s="16" t="str">
        <f>IF(C15="","",IF($D15="N",Count!R15,_xlfn.CONCAT("R2 - ",Count!Q15)))</f>
        <v/>
      </c>
      <c r="M15" s="16" t="str">
        <f>IF($B15="","",Count!S15)</f>
        <v/>
      </c>
    </row>
    <row r="16" spans="1:13" x14ac:dyDescent="0.25">
      <c r="A16" t="s">
        <v>50</v>
      </c>
      <c r="B16" s="14"/>
      <c r="C16" s="14"/>
      <c r="D16" s="17"/>
      <c r="E16" s="16" t="str">
        <f>IF($B16="","",Count!L16)</f>
        <v/>
      </c>
      <c r="F16" s="16" t="str">
        <f>IF($B16="","",Count!M16)</f>
        <v/>
      </c>
      <c r="G16" s="16" t="str">
        <f>IF($B16="","",_xlfn.CONCAT("/",Count!G16))</f>
        <v/>
      </c>
      <c r="H16" s="16" t="str">
        <f>IF(C16="","",IF($D16="A","Gateway Není",Count!N16))</f>
        <v/>
      </c>
      <c r="I16" s="16" t="str">
        <f>IF(C16="","",IF($D16="A","Switch Není",Count!O16))</f>
        <v/>
      </c>
      <c r="J16" s="16" t="str">
        <f>IF(C16="","",IF($D16="A","Switch Není", Count!P16))</f>
        <v/>
      </c>
      <c r="K16" s="16" t="str">
        <f>IF(C16="","",IF($D16="N",Count!Q16,_xlfn.CONCAT("R1 - ",Count!N16)))</f>
        <v/>
      </c>
      <c r="L16" s="16" t="str">
        <f>IF(C16="","",IF($D16="N",Count!R16,_xlfn.CONCAT("R2 - ",Count!Q16)))</f>
        <v/>
      </c>
      <c r="M16" s="16" t="str">
        <f>IF($B16="","",Count!S16)</f>
        <v/>
      </c>
    </row>
    <row r="17" spans="1:13" x14ac:dyDescent="0.25">
      <c r="A17" t="s">
        <v>51</v>
      </c>
      <c r="B17" s="14"/>
      <c r="C17" s="14"/>
      <c r="D17" s="17"/>
      <c r="E17" s="16" t="str">
        <f>IF($B17="","",Count!L17)</f>
        <v/>
      </c>
      <c r="F17" s="16" t="str">
        <f>IF($B17="","",Count!M17)</f>
        <v/>
      </c>
      <c r="G17" s="16" t="str">
        <f>IF($B17="","",_xlfn.CONCAT("/",Count!G17))</f>
        <v/>
      </c>
      <c r="H17" s="16" t="str">
        <f>IF(C17="","",IF($D17="A","Gateway Není",Count!N17))</f>
        <v/>
      </c>
      <c r="I17" s="16" t="str">
        <f>IF(C17="","",IF($D17="A","Switch Není",Count!O17))</f>
        <v/>
      </c>
      <c r="J17" s="16" t="str">
        <f>IF(C17="","",IF($D17="A","Switch Není", Count!P17))</f>
        <v/>
      </c>
      <c r="K17" s="16" t="str">
        <f>IF(C17="","",IF($D17="N",Count!Q17,_xlfn.CONCAT("R1 - ",Count!N17)))</f>
        <v/>
      </c>
      <c r="L17" s="16" t="str">
        <f>IF(C17="","",IF($D17="N",Count!R17,_xlfn.CONCAT("R2 - ",Count!Q17)))</f>
        <v/>
      </c>
      <c r="M17" s="16" t="str">
        <f>IF($B17="","",Count!S17)</f>
        <v/>
      </c>
    </row>
    <row r="18" spans="1:13" x14ac:dyDescent="0.25">
      <c r="A18" t="s">
        <v>52</v>
      </c>
      <c r="B18" s="14"/>
      <c r="C18" s="14"/>
      <c r="D18" s="17"/>
      <c r="E18" s="16" t="str">
        <f>IF($B18="","",Count!L18)</f>
        <v/>
      </c>
      <c r="F18" s="16" t="str">
        <f>IF($B18="","",Count!M18)</f>
        <v/>
      </c>
      <c r="G18" s="16" t="str">
        <f>IF($B18="","",_xlfn.CONCAT("/",Count!G18))</f>
        <v/>
      </c>
      <c r="H18" s="16" t="str">
        <f>IF(C18="","",IF($D18="A","Gateway Není",Count!N18))</f>
        <v/>
      </c>
      <c r="I18" s="16" t="str">
        <f>IF(C18="","",IF($D18="A","Switch Není",Count!O18))</f>
        <v/>
      </c>
      <c r="J18" s="16" t="str">
        <f>IF(C18="","",IF($D18="A","Switch Není", Count!P18))</f>
        <v/>
      </c>
      <c r="K18" s="16" t="str">
        <f>IF(C18="","",IF($D18="N",Count!Q18,_xlfn.CONCAT("R1 - ",Count!N18)))</f>
        <v/>
      </c>
      <c r="L18" s="16" t="str">
        <f>IF(C18="","",IF($D18="N",Count!R18,_xlfn.CONCAT("R2 - ",Count!Q18)))</f>
        <v/>
      </c>
      <c r="M18" s="16" t="str">
        <f>IF($B18="","",Count!S18)</f>
        <v/>
      </c>
    </row>
    <row r="19" spans="1:13" x14ac:dyDescent="0.25">
      <c r="A19" t="s">
        <v>53</v>
      </c>
      <c r="B19" s="14"/>
      <c r="C19" s="14"/>
      <c r="D19" s="17"/>
      <c r="E19" s="16" t="str">
        <f>IF($B19="","",Count!L19)</f>
        <v/>
      </c>
      <c r="F19" s="16" t="str">
        <f>IF($B19="","",Count!M19)</f>
        <v/>
      </c>
      <c r="G19" s="16" t="str">
        <f>IF($B19="","",_xlfn.CONCAT("/",Count!G19))</f>
        <v/>
      </c>
      <c r="H19" s="16" t="str">
        <f>IF(C19="","",IF($D19="A","Gateway Není",Count!N19))</f>
        <v/>
      </c>
      <c r="I19" s="16" t="str">
        <f>IF(C19="","",IF($D19="A","Switch Není",Count!O19))</f>
        <v/>
      </c>
      <c r="J19" s="16" t="str">
        <f>IF(C19="","",IF($D19="A","Switch Není", Count!P19))</f>
        <v/>
      </c>
      <c r="K19" s="16" t="str">
        <f>IF(C19="","",IF($D19="N",Count!Q19,_xlfn.CONCAT("R1 - ",Count!N19)))</f>
        <v/>
      </c>
      <c r="L19" s="16" t="str">
        <f>IF(C19="","",IF($D19="N",Count!R19,_xlfn.CONCAT("R2 - ",Count!Q19)))</f>
        <v/>
      </c>
      <c r="M19" s="16" t="str">
        <f>IF($B19="","",Count!S19)</f>
        <v/>
      </c>
    </row>
    <row r="20" spans="1:13" x14ac:dyDescent="0.25">
      <c r="A20" t="s">
        <v>54</v>
      </c>
      <c r="B20" s="14"/>
      <c r="C20" s="14"/>
      <c r="D20" s="17"/>
      <c r="E20" s="16" t="str">
        <f>IF($B20="","",Count!L20)</f>
        <v/>
      </c>
      <c r="F20" s="16" t="str">
        <f>IF($B20="","",Count!M20)</f>
        <v/>
      </c>
      <c r="G20" s="16" t="str">
        <f>IF($B20="","",_xlfn.CONCAT("/",Count!G20))</f>
        <v/>
      </c>
      <c r="H20" s="16" t="str">
        <f>IF(C20="","",IF($D20="A","Gateway Není",Count!N20))</f>
        <v/>
      </c>
      <c r="I20" s="16" t="str">
        <f>IF(C20="","",IF($D20="A","Switch Není",Count!O20))</f>
        <v/>
      </c>
      <c r="J20" s="16" t="str">
        <f>IF(C20="","",IF($D20="A","Switch Není", Count!P20))</f>
        <v/>
      </c>
      <c r="K20" s="16" t="str">
        <f>IF(C20="","",IF($D20="N",Count!Q20,_xlfn.CONCAT("R1 - ",Count!N20)))</f>
        <v/>
      </c>
      <c r="L20" s="16" t="str">
        <f>IF(C20="","",IF($D20="N",Count!R20,_xlfn.CONCAT("R2 - ",Count!Q20)))</f>
        <v/>
      </c>
      <c r="M20" s="16" t="str">
        <f>IF($B20="","",Count!S20)</f>
        <v/>
      </c>
    </row>
    <row r="21" spans="1:13" x14ac:dyDescent="0.25">
      <c r="A21" t="s">
        <v>55</v>
      </c>
      <c r="B21" s="14"/>
      <c r="C21" s="14"/>
      <c r="D21" s="17"/>
      <c r="E21" s="16" t="str">
        <f>IF($B21="","",Count!L21)</f>
        <v/>
      </c>
      <c r="F21" s="16" t="str">
        <f>IF($B21="","",Count!M21)</f>
        <v/>
      </c>
      <c r="G21" s="16" t="str">
        <f>IF($B21="","",_xlfn.CONCAT("/",Count!G21))</f>
        <v/>
      </c>
      <c r="H21" s="16" t="str">
        <f>IF(C21="","",IF($D21="A","Gateway Není",Count!N21))</f>
        <v/>
      </c>
      <c r="I21" s="16" t="str">
        <f>IF(C21="","",IF($D21="A","Switch Není",Count!O21))</f>
        <v/>
      </c>
      <c r="J21" s="16" t="str">
        <f>IF(C21="","",IF($D21="A","Switch Není", Count!P21))</f>
        <v/>
      </c>
      <c r="K21" s="16" t="str">
        <f>IF(C21="","",IF($D21="N",Count!Q21,_xlfn.CONCAT("R1 - ",Count!N21)))</f>
        <v/>
      </c>
      <c r="L21" s="16" t="str">
        <f>IF(C21="","",IF($D21="N",Count!R21,_xlfn.CONCAT("R2 - ",Count!Q21)))</f>
        <v/>
      </c>
      <c r="M21" s="16" t="str">
        <f>IF($B21="","",Count!S21)</f>
        <v/>
      </c>
    </row>
    <row r="22" spans="1:13" x14ac:dyDescent="0.25">
      <c r="A22" t="s">
        <v>56</v>
      </c>
      <c r="B22" s="14"/>
      <c r="C22" s="14"/>
      <c r="D22" s="17"/>
      <c r="E22" s="16" t="str">
        <f>IF($B22="","",Count!L22)</f>
        <v/>
      </c>
      <c r="F22" s="16" t="str">
        <f>IF($B22="","",Count!M22)</f>
        <v/>
      </c>
      <c r="G22" s="16" t="str">
        <f>IF($B22="","",_xlfn.CONCAT("/",Count!G22))</f>
        <v/>
      </c>
      <c r="H22" s="16" t="str">
        <f>IF(C22="","",IF($D22="A","Gateway Není",Count!N22))</f>
        <v/>
      </c>
      <c r="I22" s="16" t="str">
        <f>IF(C22="","",IF($D22="A","Switch Není",Count!O22))</f>
        <v/>
      </c>
      <c r="J22" s="16" t="str">
        <f>IF(C22="","",IF($D22="A","Switch Není", Count!P22))</f>
        <v/>
      </c>
      <c r="K22" s="16" t="str">
        <f>IF(C22="","",IF($D22="N",Count!Q22,_xlfn.CONCAT("R1 - ",Count!N22)))</f>
        <v/>
      </c>
      <c r="L22" s="16" t="str">
        <f>IF(C22="","",IF($D22="N",Count!R22,_xlfn.CONCAT("R2 - ",Count!Q22)))</f>
        <v/>
      </c>
      <c r="M22" s="16" t="str">
        <f>IF($B22="","",Count!S22)</f>
        <v/>
      </c>
    </row>
    <row r="23" spans="1:13" x14ac:dyDescent="0.25">
      <c r="A23" t="s">
        <v>57</v>
      </c>
      <c r="B23" s="14"/>
      <c r="C23" s="14"/>
      <c r="D23" s="17"/>
      <c r="E23" s="16" t="str">
        <f>IF($B23="","",Count!L23)</f>
        <v/>
      </c>
      <c r="F23" s="16" t="str">
        <f>IF($B23="","",Count!M23)</f>
        <v/>
      </c>
      <c r="G23" s="16" t="str">
        <f>IF($B23="","",_xlfn.CONCAT("/",Count!G23))</f>
        <v/>
      </c>
      <c r="H23" s="16" t="str">
        <f>IF(C23="","",IF($D23="A","Gateway Není",Count!N23))</f>
        <v/>
      </c>
      <c r="I23" s="16" t="str">
        <f>IF(C23="","",IF($D23="A","Switch Není",Count!O23))</f>
        <v/>
      </c>
      <c r="J23" s="16" t="str">
        <f>IF(C23="","",IF($D23="A","Switch Není", Count!P23))</f>
        <v/>
      </c>
      <c r="K23" s="16" t="str">
        <f>IF(C23="","",IF($D23="N",Count!Q23,_xlfn.CONCAT("R1 - ",Count!N23)))</f>
        <v/>
      </c>
      <c r="L23" s="16" t="str">
        <f>IF(C23="","",IF($D23="N",Count!R23,_xlfn.CONCAT("R2 - ",Count!Q23)))</f>
        <v/>
      </c>
      <c r="M23" s="16" t="str">
        <f>IF($B23="","",Count!S23)</f>
        <v/>
      </c>
    </row>
    <row r="24" spans="1:13" x14ac:dyDescent="0.25">
      <c r="A24" t="s">
        <v>58</v>
      </c>
      <c r="B24" s="14"/>
      <c r="C24" s="14"/>
      <c r="D24" s="17"/>
      <c r="E24" s="16" t="str">
        <f>IF($B24="","",Count!L24)</f>
        <v/>
      </c>
      <c r="F24" s="16" t="str">
        <f>IF($B24="","",Count!M24)</f>
        <v/>
      </c>
      <c r="G24" s="16" t="str">
        <f>IF($B24="","",_xlfn.CONCAT("/",Count!G24))</f>
        <v/>
      </c>
      <c r="H24" s="16" t="str">
        <f>IF(C24="","",IF($D24="A","Gateway Není",Count!N24))</f>
        <v/>
      </c>
      <c r="I24" s="16" t="str">
        <f>IF(C24="","",IF($D24="A","Switch Není",Count!O24))</f>
        <v/>
      </c>
      <c r="J24" s="16" t="str">
        <f>IF(C24="","",IF($D24="A","Switch Není", Count!P24))</f>
        <v/>
      </c>
      <c r="K24" s="16" t="str">
        <f>IF(C24="","",IF($D24="N",Count!Q24,_xlfn.CONCAT("R1 - ",Count!N24)))</f>
        <v/>
      </c>
      <c r="L24" s="16" t="str">
        <f>IF(C24="","",IF($D24="N",Count!R24,_xlfn.CONCAT("R2 - ",Count!Q24)))</f>
        <v/>
      </c>
      <c r="M24" s="16" t="str">
        <f>IF($B24="","",Count!S24)</f>
        <v/>
      </c>
    </row>
    <row r="25" spans="1:13" x14ac:dyDescent="0.25">
      <c r="A25" t="s">
        <v>59</v>
      </c>
      <c r="B25" s="14"/>
      <c r="C25" s="14"/>
      <c r="D25" s="17"/>
      <c r="E25" s="16" t="str">
        <f>IF($B25="","",Count!L25)</f>
        <v/>
      </c>
      <c r="F25" s="16" t="str">
        <f>IF($B25="","",Count!M25)</f>
        <v/>
      </c>
      <c r="G25" s="16" t="str">
        <f>IF($B25="","",_xlfn.CONCAT("/",Count!G25))</f>
        <v/>
      </c>
      <c r="H25" s="16" t="str">
        <f>IF(C25="","",IF($D25="A","Gateway Není",Count!N25))</f>
        <v/>
      </c>
      <c r="I25" s="16" t="str">
        <f>IF(C25="","",IF($D25="A","Switch Není",Count!O25))</f>
        <v/>
      </c>
      <c r="J25" s="16" t="str">
        <f>IF(C25="","",IF($D25="A","Switch Není", Count!P25))</f>
        <v/>
      </c>
      <c r="K25" s="16" t="str">
        <f>IF(C25="","",IF($D25="N",Count!Q25,_xlfn.CONCAT("R1 - ",Count!N25)))</f>
        <v/>
      </c>
      <c r="L25" s="16" t="str">
        <f>IF(C25="","",IF($D25="N",Count!R25,_xlfn.CONCAT("R2 - ",Count!Q25)))</f>
        <v/>
      </c>
      <c r="M25" s="16" t="str">
        <f>IF($B25="","",Count!S25)</f>
        <v/>
      </c>
    </row>
    <row r="26" spans="1:13" x14ac:dyDescent="0.25">
      <c r="A26" t="s">
        <v>60</v>
      </c>
      <c r="B26" s="14"/>
      <c r="C26" s="14"/>
      <c r="D26" s="17"/>
      <c r="E26" s="16" t="str">
        <f>IF($B26="","",Count!L26)</f>
        <v/>
      </c>
      <c r="F26" s="16" t="str">
        <f>IF($B26="","",Count!M26)</f>
        <v/>
      </c>
      <c r="G26" s="16" t="str">
        <f>IF($B26="","",_xlfn.CONCAT("/",Count!G26))</f>
        <v/>
      </c>
      <c r="H26" s="16" t="str">
        <f>IF(C26="","",IF($D26="A","Gateway Není",Count!N26))</f>
        <v/>
      </c>
      <c r="I26" s="16" t="str">
        <f>IF(C26="","",IF($D26="A","Switch Není",Count!O26))</f>
        <v/>
      </c>
      <c r="J26" s="16" t="str">
        <f>IF(C26="","",IF($D26="A","Switch Není", Count!P26))</f>
        <v/>
      </c>
      <c r="K26" s="16" t="str">
        <f>IF(C26="","",IF($D26="N",Count!Q26,_xlfn.CONCAT("R1 - ",Count!N26)))</f>
        <v/>
      </c>
      <c r="L26" s="16" t="str">
        <f>IF(C26="","",IF($D26="N",Count!R26,_xlfn.CONCAT("R2 - ",Count!Q26)))</f>
        <v/>
      </c>
      <c r="M26" s="16" t="str">
        <f>IF($B26="","",Count!S26)</f>
        <v/>
      </c>
    </row>
    <row r="27" spans="1:13" x14ac:dyDescent="0.25">
      <c r="A27" t="s">
        <v>61</v>
      </c>
      <c r="B27" s="14"/>
      <c r="C27" s="14"/>
      <c r="D27" s="17"/>
      <c r="E27" s="16" t="str">
        <f>IF($B27="","",Count!L27)</f>
        <v/>
      </c>
      <c r="F27" s="16" t="str">
        <f>IF($B27="","",Count!M27)</f>
        <v/>
      </c>
      <c r="G27" s="16" t="str">
        <f>IF($B27="","",_xlfn.CONCAT("/",Count!G27))</f>
        <v/>
      </c>
      <c r="H27" s="16" t="str">
        <f>IF(C27="","",IF($D27="A","Gateway Není",Count!N27))</f>
        <v/>
      </c>
      <c r="I27" s="16" t="str">
        <f>IF(C27="","",IF($D27="A","Switch Není",Count!O27))</f>
        <v/>
      </c>
      <c r="J27" s="16" t="str">
        <f>IF(C27="","",IF($D27="A","Switch Není", Count!P27))</f>
        <v/>
      </c>
      <c r="K27" s="16" t="str">
        <f>IF(C27="","",IF($D27="N",Count!Q27,_xlfn.CONCAT("R1 - ",Count!N27)))</f>
        <v/>
      </c>
      <c r="L27" s="16" t="str">
        <f>IF(C27="","",IF($D27="N",Count!R27,_xlfn.CONCAT("R2 - ",Count!Q27)))</f>
        <v/>
      </c>
      <c r="M27" s="16" t="str">
        <f>IF($B27="","",Count!S27)</f>
        <v/>
      </c>
    </row>
    <row r="28" spans="1:13" x14ac:dyDescent="0.25">
      <c r="A28" t="s">
        <v>62</v>
      </c>
      <c r="B28" s="14"/>
      <c r="C28" s="14"/>
      <c r="D28" s="17"/>
      <c r="E28" s="16" t="str">
        <f>IF($B28="","",Count!L28)</f>
        <v/>
      </c>
      <c r="F28" s="16" t="str">
        <f>IF($B28="","",Count!M28)</f>
        <v/>
      </c>
      <c r="G28" s="16" t="str">
        <f>IF($B28="","",_xlfn.CONCAT("/",Count!G28))</f>
        <v/>
      </c>
      <c r="H28" s="16" t="str">
        <f>IF(C28="","",IF($D28="A","Gateway Není",Count!N28))</f>
        <v/>
      </c>
      <c r="I28" s="16" t="str">
        <f>IF(C28="","",IF($D28="A","Switch Není",Count!O28))</f>
        <v/>
      </c>
      <c r="J28" s="16" t="str">
        <f>IF(C28="","",IF($D28="A","Switch Není", Count!P28))</f>
        <v/>
      </c>
      <c r="K28" s="16" t="str">
        <f>IF(C28="","",IF($D28="N",Count!Q28,_xlfn.CONCAT("R1 - ",Count!N28)))</f>
        <v/>
      </c>
      <c r="L28" s="16" t="str">
        <f>IF(C28="","",IF($D28="N",Count!R28,_xlfn.CONCAT("R2 - ",Count!Q28)))</f>
        <v/>
      </c>
      <c r="M28" s="16" t="str">
        <f>IF($B28="","",Count!S28)</f>
        <v/>
      </c>
    </row>
    <row r="29" spans="1:13" x14ac:dyDescent="0.25">
      <c r="A29" t="s">
        <v>63</v>
      </c>
      <c r="B29" s="14"/>
      <c r="C29" s="14"/>
      <c r="D29" s="17"/>
      <c r="E29" s="16" t="str">
        <f>IF($B29="","",Count!L29)</f>
        <v/>
      </c>
      <c r="F29" s="16" t="str">
        <f>IF($B29="","",Count!M29)</f>
        <v/>
      </c>
      <c r="G29" s="16" t="str">
        <f>IF($B29="","",_xlfn.CONCAT("/",Count!G29))</f>
        <v/>
      </c>
      <c r="H29" s="16" t="str">
        <f>IF(C29="","",IF($D29="A","Gateway Není",Count!N29))</f>
        <v/>
      </c>
      <c r="I29" s="16" t="str">
        <f>IF(C29="","",IF($D29="A","Switch Není",Count!O29))</f>
        <v/>
      </c>
      <c r="J29" s="16" t="str">
        <f>IF(C29="","",IF($D29="A","Switch Není", Count!P29))</f>
        <v/>
      </c>
      <c r="K29" s="16" t="str">
        <f>IF(C29="","",IF($D29="N",Count!Q29,_xlfn.CONCAT("R1 - ",Count!N29)))</f>
        <v/>
      </c>
      <c r="L29" s="16" t="str">
        <f>IF(C29="","",IF($D29="N",Count!R29,_xlfn.CONCAT("R2 - ",Count!Q29)))</f>
        <v/>
      </c>
      <c r="M29" s="16" t="str">
        <f>IF($B29="","",Count!S29)</f>
        <v/>
      </c>
    </row>
    <row r="30" spans="1:13" x14ac:dyDescent="0.25">
      <c r="A30" t="s">
        <v>64</v>
      </c>
      <c r="B30" s="14"/>
      <c r="C30" s="14"/>
      <c r="D30" s="17"/>
      <c r="E30" s="16" t="str">
        <f>IF($B30="","",Count!L30)</f>
        <v/>
      </c>
      <c r="F30" s="16" t="str">
        <f>IF($B30="","",Count!M30)</f>
        <v/>
      </c>
      <c r="G30" s="16" t="str">
        <f>IF($B30="","",_xlfn.CONCAT("/",Count!G30))</f>
        <v/>
      </c>
      <c r="H30" s="16" t="str">
        <f>IF(C30="","",IF($D30="A","Gateway Není",Count!N30))</f>
        <v/>
      </c>
      <c r="I30" s="16" t="str">
        <f>IF(C30="","",IF($D30="A","Switch Není",Count!O30))</f>
        <v/>
      </c>
      <c r="J30" s="16" t="str">
        <f>IF(C30="","",IF($D30="A","Switch Není", Count!P30))</f>
        <v/>
      </c>
      <c r="K30" s="16" t="str">
        <f>IF(C30="","",IF($D30="N",Count!Q30,_xlfn.CONCAT("R1 - ",Count!N30)))</f>
        <v/>
      </c>
      <c r="L30" s="16" t="str">
        <f>IF(C30="","",IF($D30="N",Count!R30,_xlfn.CONCAT("R2 - ",Count!Q30)))</f>
        <v/>
      </c>
      <c r="M30" s="16" t="str">
        <f>IF($B30="","",Count!S30)</f>
        <v/>
      </c>
    </row>
    <row r="31" spans="1:13" x14ac:dyDescent="0.25">
      <c r="A31" t="s">
        <v>65</v>
      </c>
      <c r="B31" s="14"/>
      <c r="C31" s="14"/>
      <c r="D31" s="17"/>
      <c r="E31" s="16" t="str">
        <f>IF($B31="","",Count!L31)</f>
        <v/>
      </c>
      <c r="F31" s="16" t="str">
        <f>IF($B31="","",Count!M31)</f>
        <v/>
      </c>
      <c r="G31" s="16" t="str">
        <f>IF($B31="","",_xlfn.CONCAT("/",Count!G31))</f>
        <v/>
      </c>
      <c r="H31" s="16" t="str">
        <f>IF(C31="","",IF($D31="A","Gateway Není",Count!N31))</f>
        <v/>
      </c>
      <c r="I31" s="16" t="str">
        <f>IF(C31="","",IF($D31="A","Switch Není",Count!O31))</f>
        <v/>
      </c>
      <c r="J31" s="16" t="str">
        <f>IF(C31="","",IF($D31="A","Switch Není", Count!P31))</f>
        <v/>
      </c>
      <c r="K31" s="16" t="str">
        <f>IF(C31="","",IF($D31="N",Count!Q31,_xlfn.CONCAT("R1 - ",Count!N31)))</f>
        <v/>
      </c>
      <c r="L31" s="16" t="str">
        <f>IF(C31="","",IF($D31="N",Count!R31,_xlfn.CONCAT("R2 - ",Count!Q31)))</f>
        <v/>
      </c>
      <c r="M31" s="16" t="str">
        <f>IF($B31="","",Count!S31)</f>
        <v/>
      </c>
    </row>
    <row r="32" spans="1:13" x14ac:dyDescent="0.25">
      <c r="A32" t="s">
        <v>66</v>
      </c>
      <c r="B32" s="14"/>
      <c r="C32" s="14"/>
      <c r="D32" s="17"/>
      <c r="E32" s="16" t="str">
        <f>IF($B32="","",Count!L32)</f>
        <v/>
      </c>
      <c r="F32" s="16" t="str">
        <f>IF($B32="","",Count!M32)</f>
        <v/>
      </c>
      <c r="G32" s="16" t="str">
        <f>IF($B32="","",_xlfn.CONCAT("/",Count!G32))</f>
        <v/>
      </c>
      <c r="H32" s="16" t="str">
        <f>IF(C32="","",IF($D32="A","Gateway Není",Count!N32))</f>
        <v/>
      </c>
      <c r="I32" s="16" t="str">
        <f>IF(C32="","",IF($D32="A","Switch Není",Count!O32))</f>
        <v/>
      </c>
      <c r="J32" s="16" t="str">
        <f>IF(C32="","",IF($D32="A","Switch Není", Count!P32))</f>
        <v/>
      </c>
      <c r="K32" s="16" t="str">
        <f>IF(C32="","",IF($D32="N",Count!Q32,_xlfn.CONCAT("R1 - ",Count!N32)))</f>
        <v/>
      </c>
      <c r="L32" s="16" t="str">
        <f>IF(C32="","",IF($D32="N",Count!R32,_xlfn.CONCAT("R2 - ",Count!Q32)))</f>
        <v/>
      </c>
      <c r="M32" s="16" t="str">
        <f>IF($B32="","",Count!S32)</f>
        <v/>
      </c>
    </row>
    <row r="33" spans="1:13" x14ac:dyDescent="0.25">
      <c r="A33" t="s">
        <v>67</v>
      </c>
      <c r="B33" s="14"/>
      <c r="C33" s="14"/>
      <c r="D33" s="17"/>
      <c r="E33" s="16" t="str">
        <f>IF($B33="","",Count!L33)</f>
        <v/>
      </c>
      <c r="F33" s="16" t="str">
        <f>IF($B33="","",Count!M33)</f>
        <v/>
      </c>
      <c r="G33" s="16" t="str">
        <f>IF($B33="","",_xlfn.CONCAT("/",Count!G33))</f>
        <v/>
      </c>
      <c r="H33" s="16" t="str">
        <f>IF(C33="","",IF($D33="A","Gateway Není",Count!N33))</f>
        <v/>
      </c>
      <c r="I33" s="16" t="str">
        <f>IF(C33="","",IF($D33="A","Switch Není",Count!O33))</f>
        <v/>
      </c>
      <c r="J33" s="16" t="str">
        <f>IF(C33="","",IF($D33="A","Switch Není", Count!P33))</f>
        <v/>
      </c>
      <c r="K33" s="16" t="str">
        <f>IF(C33="","",IF($D33="N",Count!Q33,_xlfn.CONCAT("R1 - ",Count!N33)))</f>
        <v/>
      </c>
      <c r="L33" s="16" t="str">
        <f>IF(C33="","",IF($D33="N",Count!R33,_xlfn.CONCAT("R2 - ",Count!Q33)))</f>
        <v/>
      </c>
      <c r="M33" s="16" t="str">
        <f>IF($B33="","",Count!S33)</f>
        <v/>
      </c>
    </row>
    <row r="34" spans="1:13" x14ac:dyDescent="0.25">
      <c r="A34" t="s">
        <v>68</v>
      </c>
      <c r="B34" s="14"/>
      <c r="C34" s="14"/>
      <c r="D34" s="17"/>
      <c r="E34" s="16" t="str">
        <f>IF($B34="","",Count!L34)</f>
        <v/>
      </c>
      <c r="F34" s="16" t="str">
        <f>IF($B34="","",Count!M34)</f>
        <v/>
      </c>
      <c r="G34" s="16" t="str">
        <f>IF($B34="","",_xlfn.CONCAT("/",Count!G34))</f>
        <v/>
      </c>
      <c r="H34" s="16" t="str">
        <f>IF(C34="","",IF($D34="A","Gateway Není",Count!N34))</f>
        <v/>
      </c>
      <c r="I34" s="16" t="str">
        <f>IF(C34="","",IF($D34="A","Switch Není",Count!O34))</f>
        <v/>
      </c>
      <c r="J34" s="16" t="str">
        <f>IF(C34="","",IF($D34="A","Switch Není", Count!P34))</f>
        <v/>
      </c>
      <c r="K34" s="16" t="str">
        <f>IF(C34="","",IF($D34="N",Count!Q34,_xlfn.CONCAT("R1 - ",Count!N34)))</f>
        <v/>
      </c>
      <c r="L34" s="16" t="str">
        <f>IF(C34="","",IF($D34="N",Count!R34,_xlfn.CONCAT("R2 - ",Count!Q34)))</f>
        <v/>
      </c>
      <c r="M34" s="16" t="str">
        <f>IF($B34="","",Count!S34)</f>
        <v/>
      </c>
    </row>
    <row r="35" spans="1:13" x14ac:dyDescent="0.25">
      <c r="A35" t="s">
        <v>69</v>
      </c>
      <c r="B35" s="14"/>
      <c r="C35" s="14"/>
      <c r="D35" s="17"/>
      <c r="E35" s="16" t="str">
        <f>IF($B35="","",Count!L35)</f>
        <v/>
      </c>
      <c r="F35" s="16" t="str">
        <f>IF($B35="","",Count!M35)</f>
        <v/>
      </c>
      <c r="G35" s="16" t="str">
        <f>IF($B35="","",_xlfn.CONCAT("/",Count!G35))</f>
        <v/>
      </c>
      <c r="H35" s="16" t="str">
        <f>IF(C35="","",IF($D35="A","Gateway Není",Count!N35))</f>
        <v/>
      </c>
      <c r="I35" s="16" t="str">
        <f>IF(C35="","",IF($D35="A","Switch Není",Count!O35))</f>
        <v/>
      </c>
      <c r="J35" s="16" t="str">
        <f>IF(C35="","",IF($D35="A","Switch Není", Count!P35))</f>
        <v/>
      </c>
      <c r="K35" s="16" t="str">
        <f>IF(C35="","",IF($D35="N",Count!Q35,_xlfn.CONCAT("R1 - ",Count!N35)))</f>
        <v/>
      </c>
      <c r="L35" s="16" t="str">
        <f>IF(C35="","",IF($D35="N",Count!R35,_xlfn.CONCAT("R2 - ",Count!Q35)))</f>
        <v/>
      </c>
      <c r="M35" s="16" t="str">
        <f>IF($B35="","",Count!S35)</f>
        <v/>
      </c>
    </row>
    <row r="36" spans="1:13" x14ac:dyDescent="0.25">
      <c r="A36" t="s">
        <v>70</v>
      </c>
      <c r="B36" s="14"/>
      <c r="C36" s="14"/>
      <c r="D36" s="17"/>
      <c r="E36" s="16" t="str">
        <f>IF($B36="","",Count!L36)</f>
        <v/>
      </c>
      <c r="F36" s="16" t="str">
        <f>IF($B36="","",Count!M36)</f>
        <v/>
      </c>
      <c r="G36" s="16" t="str">
        <f>IF($B36="","",_xlfn.CONCAT("/",Count!G36))</f>
        <v/>
      </c>
      <c r="H36" s="16" t="str">
        <f>IF(C36="","",IF($D36="A","Gateway Není",Count!N36))</f>
        <v/>
      </c>
      <c r="I36" s="16" t="str">
        <f>IF(C36="","",IF($D36="A","Switch Není",Count!O36))</f>
        <v/>
      </c>
      <c r="J36" s="16" t="str">
        <f>IF(C36="","",IF($D36="A","Switch Není", Count!P36))</f>
        <v/>
      </c>
      <c r="K36" s="16" t="str">
        <f>IF(C36="","",IF($D36="N",Count!Q36,_xlfn.CONCAT("R1 - ",Count!N36)))</f>
        <v/>
      </c>
      <c r="L36" s="16" t="str">
        <f>IF(C36="","",IF($D36="N",Count!R36,_xlfn.CONCAT("R2 - ",Count!Q36)))</f>
        <v/>
      </c>
      <c r="M36" s="16" t="str">
        <f>IF($B36="","",Count!S36)</f>
        <v/>
      </c>
    </row>
    <row r="37" spans="1:13" x14ac:dyDescent="0.25">
      <c r="A37" t="s">
        <v>71</v>
      </c>
      <c r="B37" s="14"/>
      <c r="C37" s="14"/>
      <c r="D37" s="17"/>
      <c r="E37" s="16" t="str">
        <f>IF($B37="","",Count!L37)</f>
        <v/>
      </c>
      <c r="F37" s="16" t="str">
        <f>IF($B37="","",Count!M37)</f>
        <v/>
      </c>
      <c r="G37" s="16" t="str">
        <f>IF($B37="","",_xlfn.CONCAT("/",Count!G37))</f>
        <v/>
      </c>
      <c r="H37" s="16" t="str">
        <f>IF(C37="","",IF($D37="A","Gateway Není",Count!N37))</f>
        <v/>
      </c>
      <c r="I37" s="16" t="str">
        <f>IF(C37="","",IF($D37="A","Switch Není",Count!O37))</f>
        <v/>
      </c>
      <c r="J37" s="16" t="str">
        <f>IF(C37="","",IF($D37="A","Switch Není", Count!P37))</f>
        <v/>
      </c>
      <c r="K37" s="16" t="str">
        <f>IF(C37="","",IF($D37="N",Count!Q37,_xlfn.CONCAT("R1 - ",Count!N37)))</f>
        <v/>
      </c>
      <c r="L37" s="16" t="str">
        <f>IF(C37="","",IF($D37="N",Count!R37,_xlfn.CONCAT("R2 - ",Count!Q37)))</f>
        <v/>
      </c>
      <c r="M37" s="16" t="str">
        <f>IF($B37="","",Count!S37)</f>
        <v/>
      </c>
    </row>
    <row r="38" spans="1:13" x14ac:dyDescent="0.25">
      <c r="A38" t="s">
        <v>72</v>
      </c>
      <c r="B38" s="14"/>
      <c r="C38" s="14"/>
      <c r="D38" s="17"/>
      <c r="E38" s="16" t="str">
        <f>IF($B38="","",Count!L38)</f>
        <v/>
      </c>
      <c r="F38" s="16" t="str">
        <f>IF($B38="","",Count!M38)</f>
        <v/>
      </c>
      <c r="G38" s="16" t="str">
        <f>IF($B38="","",_xlfn.CONCAT("/",Count!G38))</f>
        <v/>
      </c>
      <c r="H38" s="16" t="str">
        <f>IF(C38="","",IF($D38="A","Gateway Není",Count!N38))</f>
        <v/>
      </c>
      <c r="I38" s="16" t="str">
        <f>IF(C38="","",IF($D38="A","Switch Není",Count!O38))</f>
        <v/>
      </c>
      <c r="J38" s="16" t="str">
        <f>IF(C38="","",IF($D38="A","Switch Není", Count!P38))</f>
        <v/>
      </c>
      <c r="K38" s="16" t="str">
        <f>IF(C38="","",IF($D38="N",Count!Q38,_xlfn.CONCAT("R1 - ",Count!N38)))</f>
        <v/>
      </c>
      <c r="L38" s="16" t="str">
        <f>IF(C38="","",IF($D38="N",Count!R38,_xlfn.CONCAT("R2 - ",Count!Q38)))</f>
        <v/>
      </c>
      <c r="M38" s="16" t="str">
        <f>IF($B38="","",Count!S38)</f>
        <v/>
      </c>
    </row>
    <row r="39" spans="1:13" x14ac:dyDescent="0.25">
      <c r="A39" t="s">
        <v>73</v>
      </c>
      <c r="B39" s="14"/>
      <c r="C39" s="14"/>
      <c r="D39" s="17"/>
      <c r="E39" s="16" t="str">
        <f>IF($B39="","",Count!L39)</f>
        <v/>
      </c>
      <c r="F39" s="16" t="str">
        <f>IF($B39="","",Count!M39)</f>
        <v/>
      </c>
      <c r="G39" s="16" t="str">
        <f>IF($B39="","",_xlfn.CONCAT("/",Count!G39))</f>
        <v/>
      </c>
      <c r="H39" s="16" t="str">
        <f>IF(C39="","",IF($D39="A","Gateway Není",Count!N39))</f>
        <v/>
      </c>
      <c r="I39" s="16" t="str">
        <f>IF(C39="","",IF($D39="A","Switch Není",Count!O39))</f>
        <v/>
      </c>
      <c r="J39" s="16" t="str">
        <f>IF(C39="","",IF($D39="A","Switch Není", Count!P39))</f>
        <v/>
      </c>
      <c r="K39" s="16" t="str">
        <f>IF(C39="","",IF($D39="N",Count!Q39,_xlfn.CONCAT("R1 - ",Count!N39)))</f>
        <v/>
      </c>
      <c r="L39" s="16" t="str">
        <f>IF(C39="","",IF($D39="N",Count!R39,_xlfn.CONCAT("R2 - ",Count!Q39)))</f>
        <v/>
      </c>
      <c r="M39" s="16" t="str">
        <f>IF($B39="","",Count!S39)</f>
        <v/>
      </c>
    </row>
    <row r="40" spans="1:13" x14ac:dyDescent="0.25">
      <c r="A40" t="s">
        <v>74</v>
      </c>
      <c r="B40" s="14"/>
      <c r="C40" s="14"/>
      <c r="D40" s="17"/>
      <c r="E40" s="16" t="str">
        <f>IF($B40="","",Count!L40)</f>
        <v/>
      </c>
      <c r="F40" s="16" t="str">
        <f>IF($B40="","",Count!M40)</f>
        <v/>
      </c>
      <c r="G40" s="16" t="str">
        <f>IF($B40="","",_xlfn.CONCAT("/",Count!G40))</f>
        <v/>
      </c>
      <c r="H40" s="16" t="str">
        <f>IF(C40="","",IF($D40="A","Gateway Není",Count!N40))</f>
        <v/>
      </c>
      <c r="I40" s="16" t="str">
        <f>IF(C40="","",IF($D40="A","Switch Není",Count!O40))</f>
        <v/>
      </c>
      <c r="J40" s="16" t="str">
        <f>IF(C40="","",IF($D40="A","Switch Není", Count!P40))</f>
        <v/>
      </c>
      <c r="K40" s="16" t="str">
        <f>IF(C40="","",IF($D40="N",Count!Q40,_xlfn.CONCAT("R1 - ",Count!N40)))</f>
        <v/>
      </c>
      <c r="L40" s="16" t="str">
        <f>IF(C40="","",IF($D40="N",Count!R40,_xlfn.CONCAT("R2 - ",Count!Q40)))</f>
        <v/>
      </c>
      <c r="M40" s="16" t="str">
        <f>IF($B40="","",Count!S40)</f>
        <v/>
      </c>
    </row>
    <row r="41" spans="1:13" x14ac:dyDescent="0.25">
      <c r="A41" t="s">
        <v>75</v>
      </c>
      <c r="B41" s="14"/>
      <c r="C41" s="14"/>
      <c r="D41" s="17"/>
      <c r="E41" s="16" t="str">
        <f>IF($B41="","",Count!L41)</f>
        <v/>
      </c>
      <c r="F41" s="16" t="str">
        <f>IF($B41="","",Count!M41)</f>
        <v/>
      </c>
      <c r="G41" s="16" t="str">
        <f>IF($B41="","",_xlfn.CONCAT("/",Count!G41))</f>
        <v/>
      </c>
      <c r="H41" s="16" t="str">
        <f>IF(C41="","",IF($D41="A","Gateway Není",Count!N41))</f>
        <v/>
      </c>
      <c r="I41" s="16" t="str">
        <f>IF(C41="","",IF($D41="A","Switch Není",Count!O41))</f>
        <v/>
      </c>
      <c r="J41" s="16" t="str">
        <f>IF(C41="","",IF($D41="A","Switch Není", Count!P41))</f>
        <v/>
      </c>
      <c r="K41" s="16" t="str">
        <f>IF(C41="","",IF($D41="N",Count!Q41,_xlfn.CONCAT("R1 - ",Count!N41)))</f>
        <v/>
      </c>
      <c r="L41" s="16" t="str">
        <f>IF(C41="","",IF($D41="N",Count!R41,_xlfn.CONCAT("R2 - ",Count!Q41)))</f>
        <v/>
      </c>
      <c r="M41" s="16" t="str">
        <f>IF($B41="","",Count!S41)</f>
        <v/>
      </c>
    </row>
    <row r="42" spans="1:13" x14ac:dyDescent="0.25">
      <c r="A42" t="s">
        <v>76</v>
      </c>
      <c r="B42" s="14"/>
      <c r="C42" s="14"/>
      <c r="D42" s="17"/>
      <c r="E42" s="16" t="str">
        <f>IF($B42="","",Count!L42)</f>
        <v/>
      </c>
      <c r="F42" s="16" t="str">
        <f>IF($B42="","",Count!M42)</f>
        <v/>
      </c>
      <c r="G42" s="16" t="str">
        <f>IF($B42="","",_xlfn.CONCAT("/",Count!G42))</f>
        <v/>
      </c>
      <c r="H42" s="16" t="str">
        <f>IF(C42="","",IF($D42="A","Gateway Není",Count!N42))</f>
        <v/>
      </c>
      <c r="I42" s="16" t="str">
        <f>IF(C42="","",IF($D42="A","Switch Není",Count!O42))</f>
        <v/>
      </c>
      <c r="J42" s="16" t="str">
        <f>IF(C42="","",IF($D42="A","Switch Není", Count!P42))</f>
        <v/>
      </c>
      <c r="K42" s="16" t="str">
        <f>IF(C42="","",IF($D42="N",Count!Q42,_xlfn.CONCAT("R1 - ",Count!N42)))</f>
        <v/>
      </c>
      <c r="L42" s="16" t="str">
        <f>IF(C42="","",IF($D42="N",Count!R42,_xlfn.CONCAT("R2 - ",Count!Q42)))</f>
        <v/>
      </c>
      <c r="M42" s="16" t="str">
        <f>IF($B42="","",Count!S42)</f>
        <v/>
      </c>
    </row>
    <row r="43" spans="1:13" x14ac:dyDescent="0.25">
      <c r="A43" t="s">
        <v>77</v>
      </c>
      <c r="B43" s="14"/>
      <c r="C43" s="14"/>
      <c r="D43" s="17"/>
      <c r="E43" s="16" t="str">
        <f>IF($B43="","",Count!L43)</f>
        <v/>
      </c>
      <c r="F43" s="16" t="str">
        <f>IF($B43="","",Count!M43)</f>
        <v/>
      </c>
      <c r="G43" s="16" t="str">
        <f>IF($B43="","",_xlfn.CONCAT("/",Count!G43))</f>
        <v/>
      </c>
      <c r="H43" s="16" t="str">
        <f>IF(C43="","",IF($D43="A","Gateway Není",Count!N43))</f>
        <v/>
      </c>
      <c r="I43" s="16" t="str">
        <f>IF(C43="","",IF($D43="A","Switch Není",Count!O43))</f>
        <v/>
      </c>
      <c r="J43" s="16" t="str">
        <f>IF(C43="","",IF($D43="A","Switch Není", Count!P43))</f>
        <v/>
      </c>
      <c r="K43" s="16" t="str">
        <f>IF(C43="","",IF($D43="N",Count!Q43,_xlfn.CONCAT("R1 - ",Count!N43)))</f>
        <v/>
      </c>
      <c r="L43" s="16" t="str">
        <f>IF(C43="","",IF($D43="N",Count!R43,_xlfn.CONCAT("R2 - ",Count!Q43)))</f>
        <v/>
      </c>
      <c r="M43" s="16" t="str">
        <f>IF($B43="","",Count!S43)</f>
        <v/>
      </c>
    </row>
    <row r="44" spans="1:13" x14ac:dyDescent="0.25">
      <c r="A44" t="s">
        <v>78</v>
      </c>
      <c r="B44" s="14"/>
      <c r="C44" s="14"/>
      <c r="D44" s="17"/>
      <c r="E44" s="16" t="str">
        <f>IF($B44="","",Count!L44)</f>
        <v/>
      </c>
      <c r="F44" s="16" t="str">
        <f>IF($B44="","",Count!M44)</f>
        <v/>
      </c>
      <c r="G44" s="16" t="str">
        <f>IF($B44="","",_xlfn.CONCAT("/",Count!G44))</f>
        <v/>
      </c>
      <c r="H44" s="16" t="str">
        <f>IF(C44="","",IF($D44="A","Gateway Není",Count!N44))</f>
        <v/>
      </c>
      <c r="I44" s="16" t="str">
        <f>IF(C44="","",IF($D44="A","Switch Není",Count!O44))</f>
        <v/>
      </c>
      <c r="J44" s="16" t="str">
        <f>IF(C44="","",IF($D44="A","Switch Není", Count!P44))</f>
        <v/>
      </c>
      <c r="K44" s="16" t="str">
        <f>IF(C44="","",IF($D44="N",Count!Q44,_xlfn.CONCAT("R1 - ",Count!N44)))</f>
        <v/>
      </c>
      <c r="L44" s="16" t="str">
        <f>IF(C44="","",IF($D44="N",Count!R44,_xlfn.CONCAT("R2 - ",Count!Q44)))</f>
        <v/>
      </c>
      <c r="M44" s="16" t="str">
        <f>IF($B44="","",Count!S44)</f>
        <v/>
      </c>
    </row>
    <row r="45" spans="1:13" x14ac:dyDescent="0.25">
      <c r="A45" t="s">
        <v>79</v>
      </c>
      <c r="B45" s="14"/>
      <c r="C45" s="14"/>
      <c r="D45" s="17"/>
      <c r="E45" s="16" t="str">
        <f>IF($B45="","",Count!L45)</f>
        <v/>
      </c>
      <c r="F45" s="16" t="str">
        <f>IF($B45="","",Count!M45)</f>
        <v/>
      </c>
      <c r="G45" s="16" t="str">
        <f>IF($B45="","",_xlfn.CONCAT("/",Count!G45))</f>
        <v/>
      </c>
      <c r="H45" s="16" t="str">
        <f>IF(C45="","",IF($D45="A","Gateway Není",Count!N45))</f>
        <v/>
      </c>
      <c r="I45" s="16" t="str">
        <f>IF(C45="","",IF($D45="A","Switch Není",Count!O45))</f>
        <v/>
      </c>
      <c r="J45" s="16" t="str">
        <f>IF(C45="","",IF($D45="A","Switch Není", Count!P45))</f>
        <v/>
      </c>
      <c r="K45" s="16" t="str">
        <f>IF(C45="","",IF($D45="N",Count!Q45,_xlfn.CONCAT("R1 - ",Count!N45)))</f>
        <v/>
      </c>
      <c r="L45" s="16" t="str">
        <f>IF(C45="","",IF($D45="N",Count!R45,_xlfn.CONCAT("R2 - ",Count!Q45)))</f>
        <v/>
      </c>
      <c r="M45" s="16" t="str">
        <f>IF($B45="","",Count!S45)</f>
        <v/>
      </c>
    </row>
    <row r="46" spans="1:13" x14ac:dyDescent="0.25">
      <c r="A46" t="s">
        <v>80</v>
      </c>
      <c r="B46" s="14"/>
      <c r="C46" s="14"/>
      <c r="D46" s="17"/>
      <c r="E46" s="16" t="str">
        <f>IF($B46="","",Count!L46)</f>
        <v/>
      </c>
      <c r="F46" s="16" t="str">
        <f>IF($B46="","",Count!M46)</f>
        <v/>
      </c>
      <c r="G46" s="16" t="str">
        <f>IF($B46="","",_xlfn.CONCAT("/",Count!G46))</f>
        <v/>
      </c>
      <c r="H46" s="16" t="str">
        <f>IF(C46="","",IF($D46="A","Gateway Není",Count!N46))</f>
        <v/>
      </c>
      <c r="I46" s="16" t="str">
        <f>IF(C46="","",IF($D46="A","Switch Není",Count!O46))</f>
        <v/>
      </c>
      <c r="J46" s="16" t="str">
        <f>IF(C46="","",IF($D46="A","Switch Není", Count!P46))</f>
        <v/>
      </c>
      <c r="K46" s="16" t="str">
        <f>IF(C46="","",IF($D46="N",Count!Q46,_xlfn.CONCAT("R1 - ",Count!N46)))</f>
        <v/>
      </c>
      <c r="L46" s="16" t="str">
        <f>IF(C46="","",IF($D46="N",Count!R46,_xlfn.CONCAT("R2 - ",Count!Q46)))</f>
        <v/>
      </c>
      <c r="M46" s="16" t="str">
        <f>IF($B46="","",Count!S46)</f>
        <v/>
      </c>
    </row>
    <row r="47" spans="1:13" x14ac:dyDescent="0.25">
      <c r="A47" t="s">
        <v>81</v>
      </c>
      <c r="B47" s="14"/>
      <c r="C47" s="14"/>
      <c r="D47" s="17"/>
      <c r="E47" s="16" t="str">
        <f>IF($B47="","",Count!L47)</f>
        <v/>
      </c>
      <c r="F47" s="16" t="str">
        <f>IF($B47="","",Count!M47)</f>
        <v/>
      </c>
      <c r="G47" s="16" t="str">
        <f>IF($B47="","",_xlfn.CONCAT("/",Count!G47))</f>
        <v/>
      </c>
      <c r="H47" s="16" t="str">
        <f>IF(C47="","",IF($D47="A","Gateway Není",Count!N47))</f>
        <v/>
      </c>
      <c r="I47" s="16" t="str">
        <f>IF(C47="","",IF($D47="A","Switch Není",Count!O47))</f>
        <v/>
      </c>
      <c r="J47" s="16" t="str">
        <f>IF(C47="","",IF($D47="A","Switch Není", Count!P47))</f>
        <v/>
      </c>
      <c r="K47" s="16" t="str">
        <f>IF(C47="","",IF($D47="N",Count!Q47,_xlfn.CONCAT("R1 - ",Count!N47)))</f>
        <v/>
      </c>
      <c r="L47" s="16" t="str">
        <f>IF(C47="","",IF($D47="N",Count!R47,_xlfn.CONCAT("R2 - ",Count!Q47)))</f>
        <v/>
      </c>
      <c r="M47" s="16" t="str">
        <f>IF($B47="","",Count!S47)</f>
        <v/>
      </c>
    </row>
    <row r="48" spans="1:13" x14ac:dyDescent="0.25">
      <c r="A48" t="s">
        <v>82</v>
      </c>
      <c r="B48" s="14"/>
      <c r="C48" s="14"/>
      <c r="D48" s="17"/>
      <c r="E48" s="16" t="str">
        <f>IF($B48="","",Count!L48)</f>
        <v/>
      </c>
      <c r="F48" s="16" t="str">
        <f>IF($B48="","",Count!M48)</f>
        <v/>
      </c>
      <c r="G48" s="16" t="str">
        <f>IF($B48="","",_xlfn.CONCAT("/",Count!G48))</f>
        <v/>
      </c>
      <c r="H48" s="16" t="str">
        <f>IF(C48="","",IF($D48="A","Gateway Není",Count!N48))</f>
        <v/>
      </c>
      <c r="I48" s="16" t="str">
        <f>IF(C48="","",IF($D48="A","Switch Není",Count!O48))</f>
        <v/>
      </c>
      <c r="J48" s="16" t="str">
        <f>IF(C48="","",IF($D48="A","Switch Není", Count!P48))</f>
        <v/>
      </c>
      <c r="K48" s="16" t="str">
        <f>IF(C48="","",IF($D48="N",Count!Q48,_xlfn.CONCAT("R1 - ",Count!N48)))</f>
        <v/>
      </c>
      <c r="L48" s="16" t="str">
        <f>IF(C48="","",IF($D48="N",Count!R48,_xlfn.CONCAT("R2 - ",Count!Q48)))</f>
        <v/>
      </c>
      <c r="M48" s="16" t="str">
        <f>IF($B48="","",Count!S48)</f>
        <v/>
      </c>
    </row>
    <row r="49" spans="1:13" x14ac:dyDescent="0.25">
      <c r="A49" t="s">
        <v>83</v>
      </c>
      <c r="B49" s="14"/>
      <c r="C49" s="14"/>
      <c r="D49" s="17"/>
      <c r="E49" s="16" t="str">
        <f>IF($B49="","",Count!L49)</f>
        <v/>
      </c>
      <c r="F49" s="16" t="str">
        <f>IF($B49="","",Count!M49)</f>
        <v/>
      </c>
      <c r="G49" s="16" t="str">
        <f>IF($B49="","",_xlfn.CONCAT("/",Count!G49))</f>
        <v/>
      </c>
      <c r="H49" s="16" t="str">
        <f>IF(C49="","",IF($D49="A","Gateway Není",Count!N49))</f>
        <v/>
      </c>
      <c r="I49" s="16" t="str">
        <f>IF(C49="","",IF($D49="A","Switch Není",Count!O49))</f>
        <v/>
      </c>
      <c r="J49" s="16" t="str">
        <f>IF(C49="","",IF($D49="A","Switch Není", Count!P49))</f>
        <v/>
      </c>
      <c r="K49" s="16" t="str">
        <f>IF(C49="","",IF($D49="N",Count!Q49,_xlfn.CONCAT("R1 - ",Count!N49)))</f>
        <v/>
      </c>
      <c r="L49" s="16" t="str">
        <f>IF(C49="","",IF($D49="N",Count!R49,_xlfn.CONCAT("R2 - ",Count!Q49)))</f>
        <v/>
      </c>
      <c r="M49" s="16" t="str">
        <f>IF($B49="","",Count!S49)</f>
        <v/>
      </c>
    </row>
    <row r="50" spans="1:13" x14ac:dyDescent="0.25">
      <c r="A50" t="s">
        <v>84</v>
      </c>
      <c r="B50" s="14"/>
      <c r="C50" s="14"/>
      <c r="D50" s="17"/>
      <c r="E50" s="16" t="str">
        <f>IF($B50="","",Count!L50)</f>
        <v/>
      </c>
      <c r="F50" s="16" t="str">
        <f>IF($B50="","",Count!M50)</f>
        <v/>
      </c>
      <c r="G50" s="16" t="str">
        <f>IF($B50="","",_xlfn.CONCAT("/",Count!G50))</f>
        <v/>
      </c>
      <c r="H50" s="16" t="str">
        <f>IF(C50="","",IF($D50="A","Gateway Není",Count!N50))</f>
        <v/>
      </c>
      <c r="I50" s="16" t="str">
        <f>IF(C50="","",IF($D50="A","Switch Není",Count!O50))</f>
        <v/>
      </c>
      <c r="J50" s="16" t="str">
        <f>IF(C50="","",IF($D50="A","Switch Není", Count!P50))</f>
        <v/>
      </c>
      <c r="K50" s="16" t="str">
        <f>IF(C50="","",IF($D50="N",Count!Q50,_xlfn.CONCAT("R1 - ",Count!N50)))</f>
        <v/>
      </c>
      <c r="L50" s="16" t="str">
        <f>IF(C50="","",IF($D50="N",Count!R50,_xlfn.CONCAT("R2 - ",Count!Q50)))</f>
        <v/>
      </c>
      <c r="M50" s="16" t="str">
        <f>IF($B50="","",Count!S50)</f>
        <v/>
      </c>
    </row>
    <row r="51" spans="1:13" x14ac:dyDescent="0.25">
      <c r="A51" t="s">
        <v>85</v>
      </c>
      <c r="B51" s="14"/>
      <c r="C51" s="14"/>
      <c r="D51" s="17"/>
      <c r="E51" s="16" t="str">
        <f>IF($B51="","",Count!L51)</f>
        <v/>
      </c>
      <c r="F51" s="16" t="str">
        <f>IF($B51="","",Count!M51)</f>
        <v/>
      </c>
      <c r="G51" s="16" t="str">
        <f>IF($B51="","",_xlfn.CONCAT("/",Count!G51))</f>
        <v/>
      </c>
      <c r="H51" s="16" t="str">
        <f>IF(C51="","",IF($D51="A","Gateway Není",Count!N51))</f>
        <v/>
      </c>
      <c r="I51" s="16" t="str">
        <f>IF(C51="","",IF($D51="A","Switch Není",Count!O51))</f>
        <v/>
      </c>
      <c r="J51" s="16" t="str">
        <f>IF(C51="","",IF($D51="A","Switch Není", Count!P51))</f>
        <v/>
      </c>
      <c r="K51" s="16" t="str">
        <f>IF(C51="","",IF($D51="N",Count!Q51,_xlfn.CONCAT("R1 - ",Count!N51)))</f>
        <v/>
      </c>
      <c r="L51" s="16" t="str">
        <f>IF(C51="","",IF($D51="N",Count!R51,_xlfn.CONCAT("R2 - ",Count!Q51)))</f>
        <v/>
      </c>
      <c r="M51" s="16" t="str">
        <f>IF($B51="","",Count!S51)</f>
        <v/>
      </c>
    </row>
    <row r="52" spans="1:13" x14ac:dyDescent="0.25">
      <c r="A52" t="s">
        <v>86</v>
      </c>
      <c r="B52" s="14"/>
      <c r="C52" s="14"/>
      <c r="D52" s="17"/>
      <c r="E52" s="16" t="str">
        <f>IF($B52="","",Count!L52)</f>
        <v/>
      </c>
      <c r="F52" s="16" t="str">
        <f>IF($B52="","",Count!M52)</f>
        <v/>
      </c>
      <c r="G52" s="16" t="str">
        <f>IF($B52="","",_xlfn.CONCAT("/",Count!G52))</f>
        <v/>
      </c>
      <c r="H52" s="16" t="str">
        <f>IF(C52="","",IF($D52="A","Gateway Není",Count!N52))</f>
        <v/>
      </c>
      <c r="I52" s="16" t="str">
        <f>IF(C52="","",IF($D52="A","Switch Není",Count!O52))</f>
        <v/>
      </c>
      <c r="J52" s="16" t="str">
        <f>IF(C52="","",IF($D52="A","Switch Není", Count!P52))</f>
        <v/>
      </c>
      <c r="K52" s="16" t="str">
        <f>IF(C52="","",IF($D52="N",Count!Q52,_xlfn.CONCAT("R1 - ",Count!N52)))</f>
        <v/>
      </c>
      <c r="L52" s="16" t="str">
        <f>IF(C52="","",IF($D52="N",Count!R52,_xlfn.CONCAT("R2 - ",Count!Q52)))</f>
        <v/>
      </c>
      <c r="M52" s="16" t="str">
        <f>IF($B52="","",Count!S52)</f>
        <v/>
      </c>
    </row>
    <row r="53" spans="1:13" x14ac:dyDescent="0.25">
      <c r="A53" t="s">
        <v>87</v>
      </c>
      <c r="B53" s="14"/>
      <c r="C53" s="14"/>
      <c r="D53" s="17"/>
      <c r="E53" s="16" t="str">
        <f>IF($B53="","",Count!L53)</f>
        <v/>
      </c>
      <c r="F53" s="16" t="str">
        <f>IF($B53="","",Count!M53)</f>
        <v/>
      </c>
      <c r="G53" s="16" t="str">
        <f>IF($B53="","",_xlfn.CONCAT("/",Count!G53))</f>
        <v/>
      </c>
      <c r="H53" s="16" t="str">
        <f>IF(C53="","",IF($D53="A","Gateway Není",Count!N53))</f>
        <v/>
      </c>
      <c r="I53" s="16" t="str">
        <f>IF(C53="","",IF($D53="A","Switch Není",Count!O53))</f>
        <v/>
      </c>
      <c r="J53" s="16" t="str">
        <f>IF(C53="","",IF($D53="A","Switch Není", Count!P53))</f>
        <v/>
      </c>
      <c r="K53" s="16" t="str">
        <f>IF(C53="","",IF($D53="N",Count!Q53,_xlfn.CONCAT("R1 - ",Count!N53)))</f>
        <v/>
      </c>
      <c r="L53" s="16" t="str">
        <f>IF(C53="","",IF($D53="N",Count!R53,_xlfn.CONCAT("R2 - ",Count!Q53)))</f>
        <v/>
      </c>
      <c r="M53" s="16" t="str">
        <f>IF($B53="","",Count!S53)</f>
        <v/>
      </c>
    </row>
    <row r="54" spans="1:13" x14ac:dyDescent="0.25">
      <c r="A54" t="s">
        <v>88</v>
      </c>
      <c r="B54" s="14"/>
      <c r="C54" s="14"/>
      <c r="D54" s="17"/>
      <c r="E54" s="16" t="str">
        <f>IF($B54="","",Count!L54)</f>
        <v/>
      </c>
      <c r="F54" s="16" t="str">
        <f>IF($B54="","",Count!M54)</f>
        <v/>
      </c>
      <c r="G54" s="16" t="str">
        <f>IF($B54="","",_xlfn.CONCAT("/",Count!G54))</f>
        <v/>
      </c>
      <c r="H54" s="16" t="str">
        <f>IF(C54="","",IF($D54="A","Gateway Není",Count!N54))</f>
        <v/>
      </c>
      <c r="I54" s="16" t="str">
        <f>IF(C54="","",IF($D54="A","Switch Není",Count!O54))</f>
        <v/>
      </c>
      <c r="J54" s="16" t="str">
        <f>IF(C54="","",IF($D54="A","Switch Není", Count!P54))</f>
        <v/>
      </c>
      <c r="K54" s="16" t="str">
        <f>IF(C54="","",IF($D54="N",Count!Q54,_xlfn.CONCAT("R1 - ",Count!N54)))</f>
        <v/>
      </c>
      <c r="L54" s="16" t="str">
        <f>IF(C54="","",IF($D54="N",Count!R54,_xlfn.CONCAT("R2 - ",Count!Q54)))</f>
        <v/>
      </c>
      <c r="M54" s="16" t="str">
        <f>IF($B54="","",Count!S54)</f>
        <v/>
      </c>
    </row>
    <row r="55" spans="1:13" x14ac:dyDescent="0.25">
      <c r="A55" t="s">
        <v>89</v>
      </c>
      <c r="B55" s="14"/>
      <c r="C55" s="14"/>
      <c r="D55" s="17"/>
      <c r="E55" s="16" t="str">
        <f>IF($B55="","",Count!L55)</f>
        <v/>
      </c>
      <c r="F55" s="16" t="str">
        <f>IF($B55="","",Count!M55)</f>
        <v/>
      </c>
      <c r="G55" s="16" t="str">
        <f>IF($B55="","",_xlfn.CONCAT("/",Count!G55))</f>
        <v/>
      </c>
      <c r="H55" s="16" t="str">
        <f>IF(C55="","",IF($D55="A","Gateway Není",Count!N55))</f>
        <v/>
      </c>
      <c r="I55" s="16" t="str">
        <f>IF(C55="","",IF($D55="A","Switch Není",Count!O55))</f>
        <v/>
      </c>
      <c r="J55" s="16" t="str">
        <f>IF(C55="","",IF($D55="A","Switch Není", Count!P55))</f>
        <v/>
      </c>
      <c r="K55" s="16" t="str">
        <f>IF(C55="","",IF($D55="N",Count!Q55,_xlfn.CONCAT("R1 - ",Count!N55)))</f>
        <v/>
      </c>
      <c r="L55" s="16" t="str">
        <f>IF(C55="","",IF($D55="N",Count!R55,_xlfn.CONCAT("R2 - ",Count!Q55)))</f>
        <v/>
      </c>
      <c r="M55" s="16" t="str">
        <f>IF($B55="","",Count!S55)</f>
        <v/>
      </c>
    </row>
    <row r="56" spans="1:13" x14ac:dyDescent="0.25">
      <c r="A56" t="s">
        <v>90</v>
      </c>
      <c r="B56" s="14"/>
      <c r="C56" s="14"/>
      <c r="D56" s="17"/>
      <c r="E56" s="16" t="str">
        <f>IF($B56="","",Count!L56)</f>
        <v/>
      </c>
      <c r="F56" s="16" t="str">
        <f>IF($B56="","",Count!M56)</f>
        <v/>
      </c>
      <c r="G56" s="16" t="str">
        <f>IF($B56="","",_xlfn.CONCAT("/",Count!G56))</f>
        <v/>
      </c>
      <c r="H56" s="16" t="str">
        <f>IF(C56="","",IF($D56="A","Gateway Není",Count!N56))</f>
        <v/>
      </c>
      <c r="I56" s="16" t="str">
        <f>IF(C56="","",IF($D56="A","Switch Není",Count!O56))</f>
        <v/>
      </c>
      <c r="J56" s="16" t="str">
        <f>IF(C56="","",IF($D56="A","Switch Není", Count!P56))</f>
        <v/>
      </c>
      <c r="K56" s="16" t="str">
        <f>IF(C56="","",IF($D56="N",Count!Q56,_xlfn.CONCAT("R1 - ",Count!N56)))</f>
        <v/>
      </c>
      <c r="L56" s="16" t="str">
        <f>IF(C56="","",IF($D56="N",Count!R56,_xlfn.CONCAT("R2 - ",Count!Q56)))</f>
        <v/>
      </c>
      <c r="M56" s="16" t="str">
        <f>IF($B56="","",Count!S56)</f>
        <v/>
      </c>
    </row>
    <row r="57" spans="1:13" x14ac:dyDescent="0.25">
      <c r="A57" t="s">
        <v>91</v>
      </c>
      <c r="B57" s="14"/>
      <c r="C57" s="14"/>
      <c r="D57" s="17"/>
      <c r="E57" s="16" t="str">
        <f>IF($B57="","",Count!L57)</f>
        <v/>
      </c>
      <c r="F57" s="16" t="str">
        <f>IF($B57="","",Count!M57)</f>
        <v/>
      </c>
      <c r="G57" s="16" t="str">
        <f>IF($B57="","",_xlfn.CONCAT("/",Count!G57))</f>
        <v/>
      </c>
      <c r="H57" s="16" t="str">
        <f>IF(C57="","",IF($D57="A","Gateway Není",Count!N57))</f>
        <v/>
      </c>
      <c r="I57" s="16" t="str">
        <f>IF(C57="","",IF($D57="A","Switch Není",Count!O57))</f>
        <v/>
      </c>
      <c r="J57" s="16" t="str">
        <f>IF(C57="","",IF($D57="A","Switch Není", Count!P57))</f>
        <v/>
      </c>
      <c r="K57" s="16" t="str">
        <f>IF(C57="","",IF($D57="N",Count!Q57,_xlfn.CONCAT("R1 - ",Count!N57)))</f>
        <v/>
      </c>
      <c r="L57" s="16" t="str">
        <f>IF(C57="","",IF($D57="N",Count!R57,_xlfn.CONCAT("R2 - ",Count!Q57)))</f>
        <v/>
      </c>
      <c r="M57" s="16" t="str">
        <f>IF($B57="","",Count!S57)</f>
        <v/>
      </c>
    </row>
    <row r="58" spans="1:13" x14ac:dyDescent="0.25">
      <c r="A58" t="s">
        <v>92</v>
      </c>
      <c r="B58" s="14"/>
      <c r="C58" s="14"/>
      <c r="D58" s="17"/>
      <c r="E58" s="16" t="str">
        <f>IF($B58="","",Count!L58)</f>
        <v/>
      </c>
      <c r="F58" s="16" t="str">
        <f>IF($B58="","",Count!M58)</f>
        <v/>
      </c>
      <c r="G58" s="16" t="str">
        <f>IF($B58="","",_xlfn.CONCAT("/",Count!G58))</f>
        <v/>
      </c>
      <c r="H58" s="16" t="str">
        <f>IF(C58="","",IF($D58="A","Gateway Není",Count!N58))</f>
        <v/>
      </c>
      <c r="I58" s="16" t="str">
        <f>IF(C58="","",IF($D58="A","Switch Není",Count!O58))</f>
        <v/>
      </c>
      <c r="J58" s="16" t="str">
        <f>IF(C58="","",IF($D58="A","Switch Není", Count!P58))</f>
        <v/>
      </c>
      <c r="K58" s="16" t="str">
        <f>IF(C58="","",IF($D58="N",Count!Q58,_xlfn.CONCAT("R1 - ",Count!N58)))</f>
        <v/>
      </c>
      <c r="L58" s="16" t="str">
        <f>IF(C58="","",IF($D58="N",Count!R58,_xlfn.CONCAT("R2 - ",Count!Q58)))</f>
        <v/>
      </c>
      <c r="M58" s="16" t="str">
        <f>IF($B58="","",Count!S58)</f>
        <v/>
      </c>
    </row>
    <row r="59" spans="1:13" x14ac:dyDescent="0.25">
      <c r="A59" t="s">
        <v>93</v>
      </c>
      <c r="B59" s="14"/>
      <c r="C59" s="14"/>
      <c r="D59" s="17"/>
      <c r="E59" s="16" t="str">
        <f>IF($B59="","",Count!L59)</f>
        <v/>
      </c>
      <c r="F59" s="16" t="str">
        <f>IF($B59="","",Count!M59)</f>
        <v/>
      </c>
      <c r="G59" s="16" t="str">
        <f>IF($B59="","",_xlfn.CONCAT("/",Count!G59))</f>
        <v/>
      </c>
      <c r="H59" s="16" t="str">
        <f>IF(C59="","",IF($D59="A","Gateway Není",Count!N59))</f>
        <v/>
      </c>
      <c r="I59" s="16" t="str">
        <f>IF(C59="","",IF($D59="A","Switch Není",Count!O59))</f>
        <v/>
      </c>
      <c r="J59" s="16" t="str">
        <f>IF(C59="","",IF($D59="A","Switch Není", Count!P59))</f>
        <v/>
      </c>
      <c r="K59" s="16" t="str">
        <f>IF(C59="","",IF($D59="N",Count!Q59,_xlfn.CONCAT("R1 - ",Count!N59)))</f>
        <v/>
      </c>
      <c r="L59" s="16" t="str">
        <f>IF(C59="","",IF($D59="N",Count!R59,_xlfn.CONCAT("R2 - ",Count!Q59)))</f>
        <v/>
      </c>
      <c r="M59" s="16" t="str">
        <f>IF($B59="","",Count!S59)</f>
        <v/>
      </c>
    </row>
    <row r="60" spans="1:13" x14ac:dyDescent="0.25">
      <c r="A60" t="s">
        <v>94</v>
      </c>
      <c r="B60" s="14"/>
      <c r="C60" s="14"/>
      <c r="D60" s="17"/>
      <c r="E60" s="16" t="str">
        <f>IF($B60="","",Count!L60)</f>
        <v/>
      </c>
      <c r="F60" s="16" t="str">
        <f>IF($B60="","",Count!M60)</f>
        <v/>
      </c>
      <c r="G60" s="16" t="str">
        <f>IF($B60="","",_xlfn.CONCAT("/",Count!G60))</f>
        <v/>
      </c>
      <c r="H60" s="16" t="str">
        <f>IF(C60="","",IF($D60="A","Gateway Není",Count!N60))</f>
        <v/>
      </c>
      <c r="I60" s="16" t="str">
        <f>IF(C60="","",IF($D60="A","Switch Není",Count!O60))</f>
        <v/>
      </c>
      <c r="J60" s="16" t="str">
        <f>IF(C60="","",IF($D60="A","Switch Není", Count!P60))</f>
        <v/>
      </c>
      <c r="K60" s="16" t="str">
        <f>IF(C60="","",IF($D60="N",Count!Q60,_xlfn.CONCAT("R1 - ",Count!N60)))</f>
        <v/>
      </c>
      <c r="L60" s="16" t="str">
        <f>IF(C60="","",IF($D60="N",Count!R60,_xlfn.CONCAT("R2 - ",Count!Q60)))</f>
        <v/>
      </c>
      <c r="M60" s="16" t="str">
        <f>IF($B60="","",Count!S60)</f>
        <v/>
      </c>
    </row>
  </sheetData>
  <sortState xmlns:xlrd2="http://schemas.microsoft.com/office/spreadsheetml/2017/richdata2" ref="B5:C14">
    <sortCondition descending="1" ref="B4:B14"/>
  </sortState>
  <mergeCells count="4">
    <mergeCell ref="A1:E1"/>
    <mergeCell ref="F1:H1"/>
    <mergeCell ref="I1:K1"/>
    <mergeCell ref="L1:M1"/>
  </mergeCells>
  <phoneticPr fontId="3" type="noConversion"/>
  <dataValidations count="1">
    <dataValidation type="list" allowBlank="1" showInputMessage="1" showErrorMessage="1" errorTitle="Byla zadána nessprávná hodnota!" promptTitle="A/N" prompt="Zadejte hodnotu A nebo N" sqref="D1:D1048576" xr:uid="{03131A9E-8370-49E9-B9F0-D4C74913E4FC}">
      <formula1>"A, 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EC76-426A-4982-AD1E-7DF89D003C14}">
  <dimension ref="A1:S60"/>
  <sheetViews>
    <sheetView topLeftCell="A20" zoomScale="70" zoomScaleNormal="70" workbookViewId="0">
      <selection activeCell="M66" sqref="M66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2.85546875" bestFit="1" customWidth="1"/>
    <col min="4" max="4" width="17.42578125" bestFit="1" customWidth="1"/>
    <col min="5" max="5" width="15.42578125" bestFit="1" customWidth="1"/>
    <col min="6" max="6" width="13.5703125" bestFit="1" customWidth="1"/>
    <col min="7" max="7" width="13.85546875" bestFit="1" customWidth="1"/>
    <col min="8" max="8" width="16.7109375" bestFit="1" customWidth="1"/>
    <col min="9" max="9" width="16.85546875" bestFit="1" customWidth="1"/>
    <col min="10" max="11" width="15.7109375" bestFit="1" customWidth="1"/>
    <col min="12" max="12" width="16.7109375" customWidth="1"/>
    <col min="13" max="13" width="16.140625" bestFit="1" customWidth="1"/>
    <col min="14" max="14" width="14.85546875" bestFit="1" customWidth="1"/>
    <col min="15" max="15" width="14.28515625" bestFit="1" customWidth="1"/>
    <col min="16" max="17" width="17.42578125" bestFit="1" customWidth="1"/>
    <col min="18" max="19" width="16.42578125" bestFit="1" customWidth="1"/>
  </cols>
  <sheetData>
    <row r="1" spans="1:19" x14ac:dyDescent="0.25">
      <c r="A1" s="9" t="e">
        <f>LEFT(Base!B2, FIND("~", SUBSTITUTE(Base!B2,".","~",2)))</f>
        <v>#VALUE!</v>
      </c>
      <c r="C1" s="2"/>
      <c r="E1" s="2"/>
      <c r="F1" s="2"/>
      <c r="G1" s="2"/>
    </row>
    <row r="2" spans="1:19" x14ac:dyDescent="0.25">
      <c r="A2" s="1"/>
      <c r="B2" s="11">
        <f>Base!B2</f>
        <v>0</v>
      </c>
      <c r="C2" s="4"/>
    </row>
    <row r="3" spans="1:19" x14ac:dyDescent="0.25">
      <c r="A3" s="8" t="s">
        <v>44</v>
      </c>
      <c r="B3" s="1"/>
    </row>
    <row r="4" spans="1:19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21</v>
      </c>
      <c r="M4" t="s">
        <v>22</v>
      </c>
      <c r="N4" t="s">
        <v>23</v>
      </c>
      <c r="O4" t="s">
        <v>24</v>
      </c>
      <c r="P4" s="2" t="s">
        <v>25</v>
      </c>
      <c r="Q4" t="s">
        <v>26</v>
      </c>
      <c r="R4" s="2" t="s">
        <v>27</v>
      </c>
      <c r="S4" t="s">
        <v>28</v>
      </c>
    </row>
    <row r="5" spans="1:19" x14ac:dyDescent="0.25">
      <c r="A5" t="str">
        <f>Base!A5</f>
        <v>Síť 1</v>
      </c>
      <c r="B5" s="4">
        <f>Base!B5</f>
        <v>0</v>
      </c>
      <c r="C5" s="3">
        <f>Base!C5</f>
        <v>0</v>
      </c>
      <c r="D5" s="3">
        <f>B5+C5+2</f>
        <v>2</v>
      </c>
      <c r="E5">
        <f>ROUNDUP(LOG(D5,2),0)</f>
        <v>1</v>
      </c>
      <c r="F5">
        <f>POWER(2,E5)</f>
        <v>2</v>
      </c>
      <c r="G5">
        <f>32-E5</f>
        <v>31</v>
      </c>
      <c r="H5" s="9" t="e">
        <f>VALUE(RIGHT(B2,LEN(B2)-FIND(".",B2,FIND(".",B2,FIND(".",B2)+1)+1)))</f>
        <v>#VALUE!</v>
      </c>
      <c r="I5" t="e">
        <f>VALUE(MID(B2,FIND(".",B2,FIND(".",B2)+1)+1,FIND(".",B2,FIND(".",B2,FIND(".",B2)+1)+1)-FIND(".",B2,FIND(".",B2)+1)-1))</f>
        <v>#VALUE!</v>
      </c>
      <c r="J5" t="e">
        <f>VALUE(MID(B2,FIND(".",B2)+1,FIND(".",B2,FIND(".",B2)+1)-FIND(".",B2)-1))</f>
        <v>#VALUE!</v>
      </c>
      <c r="K5" t="e">
        <f>VALUE(LEFT(B2,FIND(".",B2)-1))</f>
        <v>#VALUE!</v>
      </c>
      <c r="L5" s="1" t="e">
        <f>CONCATENATE("192.168.",I5,".",H5)</f>
        <v>#VALUE!</v>
      </c>
      <c r="M5" t="str">
        <f>VLOOKUP(G5, MaskTable!A:B, 2, FALSE)</f>
        <v>255.255.255.254</v>
      </c>
      <c r="N5" s="1" t="e">
        <f>CONCATENATE("192.168.",I5,".",H5+1)</f>
        <v>#VALUE!</v>
      </c>
      <c r="O5" t="str">
        <f>IF(C5&gt;0, CONCATENATE("192.168.",I5,".",H5+2), "N/A")</f>
        <v>N/A</v>
      </c>
      <c r="P5" t="str">
        <f>IF(C5&gt;0, CONCATENATE("192.168.",I5,".",H5+1+C5), "N/A")</f>
        <v>N/A</v>
      </c>
      <c r="Q5" s="1" t="e">
        <f>CONCATENATE("192.168.",I5,".",IF(C5=0, H5+2, H5+2+C5))</f>
        <v>#VALUE!</v>
      </c>
      <c r="R5" t="e">
        <f>CONCATENATE("192.168.",I5,".",H5+F5-2)</f>
        <v>#VALUE!</v>
      </c>
      <c r="S5" s="1" t="e">
        <f>CONCATENATE("192.168.",I5,".",H5+F5-1)</f>
        <v>#VALUE!</v>
      </c>
    </row>
    <row r="6" spans="1:19" x14ac:dyDescent="0.25">
      <c r="A6" t="str">
        <f>Base!A6</f>
        <v>Síť 2</v>
      </c>
      <c r="B6" s="4">
        <f>Base!B6</f>
        <v>0</v>
      </c>
      <c r="C6" s="3">
        <f>Base!C6</f>
        <v>0</v>
      </c>
      <c r="D6" s="3">
        <f t="shared" ref="D6:D36" si="0">B6+C6+2</f>
        <v>2</v>
      </c>
      <c r="E6">
        <f t="shared" ref="E6:E60" si="1">ROUNDUP(LOG(D6,2),0)</f>
        <v>1</v>
      </c>
      <c r="F6">
        <f t="shared" ref="F6:F60" si="2">POWER(2,E6)</f>
        <v>2</v>
      </c>
      <c r="G6">
        <f t="shared" ref="G6:G36" si="3">32-E6</f>
        <v>31</v>
      </c>
      <c r="H6" s="1" t="e">
        <f>MOD(H5+F5,256)</f>
        <v>#VALUE!</v>
      </c>
      <c r="I6" t="e">
        <f>I5+TRUNC((H5+F5)/256)</f>
        <v>#VALUE!</v>
      </c>
      <c r="L6" s="1" t="e">
        <f>CONCATENATE("192.168.",I6,".",H6)</f>
        <v>#VALUE!</v>
      </c>
      <c r="M6" t="str">
        <f>VLOOKUP(G6, MaskTable!A:B, 2, FALSE)</f>
        <v>255.255.255.254</v>
      </c>
      <c r="N6" s="1" t="e">
        <f>CONCATENATE("192.168.",I6,".",H6+1)</f>
        <v>#VALUE!</v>
      </c>
      <c r="O6" t="str">
        <f>IF(C6&gt;0, CONCATENATE("192.168.",I6,".",H6+2), "N/A")</f>
        <v>N/A</v>
      </c>
      <c r="P6" t="str">
        <f>IF(C6&gt;0, CONCATENATE("192.168.",I6,".",H6+1+C6), "N/A")</f>
        <v>N/A</v>
      </c>
      <c r="Q6" s="1" t="e">
        <f>CONCATENATE("192.168.",I6,".",IF(C6=0, H6+2, H6+2+C6))</f>
        <v>#VALUE!</v>
      </c>
      <c r="R6" t="e">
        <f>CONCATENATE("192.168.",I6,".",H6+F6-2)</f>
        <v>#VALUE!</v>
      </c>
      <c r="S6" s="1" t="e">
        <f>CONCATENATE("192.168.",I6,".",H6+F6-1)</f>
        <v>#VALUE!</v>
      </c>
    </row>
    <row r="7" spans="1:19" x14ac:dyDescent="0.25">
      <c r="A7" t="str">
        <f>Base!A7</f>
        <v>Síť 3</v>
      </c>
      <c r="B7" s="4">
        <f>Base!B7</f>
        <v>0</v>
      </c>
      <c r="C7" s="3">
        <f>Base!C7</f>
        <v>0</v>
      </c>
      <c r="D7" s="3">
        <f t="shared" si="0"/>
        <v>2</v>
      </c>
      <c r="E7">
        <f t="shared" si="1"/>
        <v>1</v>
      </c>
      <c r="F7">
        <f t="shared" si="2"/>
        <v>2</v>
      </c>
      <c r="G7">
        <f t="shared" si="3"/>
        <v>31</v>
      </c>
      <c r="H7" s="1" t="e">
        <f t="shared" ref="H7:H36" si="4">MOD(H6+F6,256)</f>
        <v>#VALUE!</v>
      </c>
      <c r="I7" t="e">
        <f t="shared" ref="I7:I36" si="5">I6+TRUNC((H6+F6)/256)</f>
        <v>#VALUE!</v>
      </c>
      <c r="L7" s="1" t="e">
        <f t="shared" ref="L7:L36" si="6">CONCATENATE("192.168.",I7,".",H7)</f>
        <v>#VALUE!</v>
      </c>
      <c r="M7" t="str">
        <f>VLOOKUP(G7, MaskTable!A:B, 2, FALSE)</f>
        <v>255.255.255.254</v>
      </c>
      <c r="N7" s="1" t="e">
        <f t="shared" ref="N7:N36" si="7">CONCATENATE("192.168.",I7,".",H7+1)</f>
        <v>#VALUE!</v>
      </c>
      <c r="O7" t="str">
        <f t="shared" ref="O7:O36" si="8">IF(C7&gt;0, CONCATENATE("192.168.",I7,".",H7+2), "N/A")</f>
        <v>N/A</v>
      </c>
      <c r="P7" t="str">
        <f t="shared" ref="P7:P36" si="9">IF(C7&gt;0, CONCATENATE("192.168.",I7,".",H7+1+C7), "N/A")</f>
        <v>N/A</v>
      </c>
      <c r="Q7" s="1" t="e">
        <f t="shared" ref="Q7:Q36" si="10">CONCATENATE("192.168.",I7,".",IF(C7=0, H7+2, H7+2+C7))</f>
        <v>#VALUE!</v>
      </c>
      <c r="R7" t="e">
        <f t="shared" ref="R7:R36" si="11">CONCATENATE("192.168.",I7,".",H7+F7-2)</f>
        <v>#VALUE!</v>
      </c>
      <c r="S7" s="1" t="e">
        <f t="shared" ref="S7:S36" si="12">CONCATENATE("192.168.",I7,".",H7+F7-1)</f>
        <v>#VALUE!</v>
      </c>
    </row>
    <row r="8" spans="1:19" x14ac:dyDescent="0.25">
      <c r="A8" t="str">
        <f>Base!A8</f>
        <v>Síť 4</v>
      </c>
      <c r="B8" s="4">
        <f>Base!B8</f>
        <v>0</v>
      </c>
      <c r="C8" s="3">
        <f>Base!C8</f>
        <v>0</v>
      </c>
      <c r="D8" s="3">
        <f t="shared" si="0"/>
        <v>2</v>
      </c>
      <c r="E8">
        <f t="shared" si="1"/>
        <v>1</v>
      </c>
      <c r="F8">
        <f t="shared" si="2"/>
        <v>2</v>
      </c>
      <c r="G8">
        <f t="shared" si="3"/>
        <v>31</v>
      </c>
      <c r="H8" s="1" t="e">
        <f t="shared" si="4"/>
        <v>#VALUE!</v>
      </c>
      <c r="I8" t="e">
        <f t="shared" si="5"/>
        <v>#VALUE!</v>
      </c>
      <c r="L8" s="1" t="e">
        <f t="shared" si="6"/>
        <v>#VALUE!</v>
      </c>
      <c r="M8" t="str">
        <f>VLOOKUP(G8, MaskTable!A:B, 2, FALSE)</f>
        <v>255.255.255.254</v>
      </c>
      <c r="N8" s="1" t="e">
        <f t="shared" si="7"/>
        <v>#VALUE!</v>
      </c>
      <c r="O8" t="str">
        <f t="shared" si="8"/>
        <v>N/A</v>
      </c>
      <c r="P8" t="str">
        <f t="shared" si="9"/>
        <v>N/A</v>
      </c>
      <c r="Q8" s="1" t="e">
        <f t="shared" si="10"/>
        <v>#VALUE!</v>
      </c>
      <c r="R8" t="e">
        <f t="shared" si="11"/>
        <v>#VALUE!</v>
      </c>
      <c r="S8" s="1" t="e">
        <f t="shared" si="12"/>
        <v>#VALUE!</v>
      </c>
    </row>
    <row r="9" spans="1:19" x14ac:dyDescent="0.25">
      <c r="A9" t="str">
        <f>Base!A9</f>
        <v>Síť 5</v>
      </c>
      <c r="B9" s="4">
        <f>Base!B9</f>
        <v>0</v>
      </c>
      <c r="C9" s="3">
        <f>Base!C9</f>
        <v>0</v>
      </c>
      <c r="D9" s="3">
        <f t="shared" si="0"/>
        <v>2</v>
      </c>
      <c r="E9">
        <f t="shared" si="1"/>
        <v>1</v>
      </c>
      <c r="F9">
        <f t="shared" si="2"/>
        <v>2</v>
      </c>
      <c r="G9">
        <f t="shared" si="3"/>
        <v>31</v>
      </c>
      <c r="H9" s="1" t="e">
        <f t="shared" si="4"/>
        <v>#VALUE!</v>
      </c>
      <c r="I9" t="e">
        <f t="shared" si="5"/>
        <v>#VALUE!</v>
      </c>
      <c r="L9" s="1" t="e">
        <f t="shared" si="6"/>
        <v>#VALUE!</v>
      </c>
      <c r="M9" t="str">
        <f>VLOOKUP(G9, MaskTable!A:B, 2, FALSE)</f>
        <v>255.255.255.254</v>
      </c>
      <c r="N9" s="1" t="e">
        <f t="shared" si="7"/>
        <v>#VALUE!</v>
      </c>
      <c r="O9" t="str">
        <f t="shared" si="8"/>
        <v>N/A</v>
      </c>
      <c r="P9" t="str">
        <f t="shared" si="9"/>
        <v>N/A</v>
      </c>
      <c r="Q9" s="1" t="e">
        <f t="shared" si="10"/>
        <v>#VALUE!</v>
      </c>
      <c r="R9" t="e">
        <f t="shared" si="11"/>
        <v>#VALUE!</v>
      </c>
      <c r="S9" s="1" t="e">
        <f t="shared" si="12"/>
        <v>#VALUE!</v>
      </c>
    </row>
    <row r="10" spans="1:19" x14ac:dyDescent="0.25">
      <c r="A10" t="str">
        <f>Base!A10</f>
        <v>Síť 6</v>
      </c>
      <c r="B10" s="4">
        <f>Base!B10</f>
        <v>0</v>
      </c>
      <c r="C10" s="3">
        <f>Base!C10</f>
        <v>0</v>
      </c>
      <c r="D10" s="3">
        <f t="shared" si="0"/>
        <v>2</v>
      </c>
      <c r="E10">
        <f t="shared" si="1"/>
        <v>1</v>
      </c>
      <c r="F10">
        <f t="shared" si="2"/>
        <v>2</v>
      </c>
      <c r="G10">
        <f t="shared" si="3"/>
        <v>31</v>
      </c>
      <c r="H10" s="1" t="e">
        <f t="shared" si="4"/>
        <v>#VALUE!</v>
      </c>
      <c r="I10" t="e">
        <f t="shared" si="5"/>
        <v>#VALUE!</v>
      </c>
      <c r="L10" s="1" t="e">
        <f t="shared" si="6"/>
        <v>#VALUE!</v>
      </c>
      <c r="M10" t="str">
        <f>VLOOKUP(G10, MaskTable!A:B, 2, FALSE)</f>
        <v>255.255.255.254</v>
      </c>
      <c r="N10" s="1" t="e">
        <f t="shared" si="7"/>
        <v>#VALUE!</v>
      </c>
      <c r="O10" t="str">
        <f t="shared" si="8"/>
        <v>N/A</v>
      </c>
      <c r="P10" t="str">
        <f t="shared" si="9"/>
        <v>N/A</v>
      </c>
      <c r="Q10" s="1" t="e">
        <f t="shared" si="10"/>
        <v>#VALUE!</v>
      </c>
      <c r="R10" t="e">
        <f t="shared" si="11"/>
        <v>#VALUE!</v>
      </c>
      <c r="S10" s="1" t="e">
        <f t="shared" si="12"/>
        <v>#VALUE!</v>
      </c>
    </row>
    <row r="11" spans="1:19" x14ac:dyDescent="0.25">
      <c r="A11" t="str">
        <f>Base!A11</f>
        <v>Síť 7</v>
      </c>
      <c r="B11" s="4">
        <f>Base!B11</f>
        <v>0</v>
      </c>
      <c r="C11" s="3">
        <f>Base!C11</f>
        <v>0</v>
      </c>
      <c r="D11" s="3">
        <f t="shared" si="0"/>
        <v>2</v>
      </c>
      <c r="E11">
        <f t="shared" si="1"/>
        <v>1</v>
      </c>
      <c r="F11">
        <f t="shared" si="2"/>
        <v>2</v>
      </c>
      <c r="G11">
        <f t="shared" si="3"/>
        <v>31</v>
      </c>
      <c r="H11" s="1" t="e">
        <f t="shared" si="4"/>
        <v>#VALUE!</v>
      </c>
      <c r="I11" t="e">
        <f t="shared" si="5"/>
        <v>#VALUE!</v>
      </c>
      <c r="L11" s="1" t="e">
        <f t="shared" si="6"/>
        <v>#VALUE!</v>
      </c>
      <c r="M11" t="str">
        <f>VLOOKUP(G11, MaskTable!A:B, 2, FALSE)</f>
        <v>255.255.255.254</v>
      </c>
      <c r="N11" s="1" t="e">
        <f t="shared" si="7"/>
        <v>#VALUE!</v>
      </c>
      <c r="O11" t="str">
        <f t="shared" si="8"/>
        <v>N/A</v>
      </c>
      <c r="P11" t="str">
        <f t="shared" si="9"/>
        <v>N/A</v>
      </c>
      <c r="Q11" s="1" t="e">
        <f t="shared" si="10"/>
        <v>#VALUE!</v>
      </c>
      <c r="R11" t="e">
        <f t="shared" si="11"/>
        <v>#VALUE!</v>
      </c>
      <c r="S11" s="1" t="e">
        <f t="shared" si="12"/>
        <v>#VALUE!</v>
      </c>
    </row>
    <row r="12" spans="1:19" x14ac:dyDescent="0.25">
      <c r="A12" t="str">
        <f>Base!A12</f>
        <v>Síť 8</v>
      </c>
      <c r="B12" s="4">
        <f>Base!B12</f>
        <v>0</v>
      </c>
      <c r="C12" s="3">
        <f>Base!C12</f>
        <v>0</v>
      </c>
      <c r="D12" s="3">
        <f t="shared" si="0"/>
        <v>2</v>
      </c>
      <c r="E12">
        <f t="shared" si="1"/>
        <v>1</v>
      </c>
      <c r="F12">
        <f t="shared" si="2"/>
        <v>2</v>
      </c>
      <c r="G12">
        <f t="shared" si="3"/>
        <v>31</v>
      </c>
      <c r="H12" s="1" t="e">
        <f t="shared" si="4"/>
        <v>#VALUE!</v>
      </c>
      <c r="I12" t="e">
        <f t="shared" si="5"/>
        <v>#VALUE!</v>
      </c>
      <c r="L12" s="1" t="e">
        <f t="shared" si="6"/>
        <v>#VALUE!</v>
      </c>
      <c r="M12" t="str">
        <f>VLOOKUP(G12, MaskTable!A:B, 2, FALSE)</f>
        <v>255.255.255.254</v>
      </c>
      <c r="N12" s="1" t="e">
        <f t="shared" si="7"/>
        <v>#VALUE!</v>
      </c>
      <c r="O12" t="str">
        <f t="shared" si="8"/>
        <v>N/A</v>
      </c>
      <c r="P12" t="str">
        <f t="shared" si="9"/>
        <v>N/A</v>
      </c>
      <c r="Q12" s="1" t="e">
        <f t="shared" si="10"/>
        <v>#VALUE!</v>
      </c>
      <c r="R12" t="e">
        <f t="shared" si="11"/>
        <v>#VALUE!</v>
      </c>
      <c r="S12" s="1" t="e">
        <f t="shared" si="12"/>
        <v>#VALUE!</v>
      </c>
    </row>
    <row r="13" spans="1:19" x14ac:dyDescent="0.25">
      <c r="A13" t="str">
        <f>Base!A13</f>
        <v>Síť 9</v>
      </c>
      <c r="B13" s="4">
        <f>Base!B13</f>
        <v>0</v>
      </c>
      <c r="C13" s="3">
        <f>Base!C13</f>
        <v>0</v>
      </c>
      <c r="D13" s="3">
        <f t="shared" si="0"/>
        <v>2</v>
      </c>
      <c r="E13">
        <f t="shared" si="1"/>
        <v>1</v>
      </c>
      <c r="F13">
        <f t="shared" si="2"/>
        <v>2</v>
      </c>
      <c r="G13">
        <f t="shared" si="3"/>
        <v>31</v>
      </c>
      <c r="H13" s="1" t="e">
        <f t="shared" si="4"/>
        <v>#VALUE!</v>
      </c>
      <c r="I13" t="e">
        <f t="shared" si="5"/>
        <v>#VALUE!</v>
      </c>
      <c r="L13" s="1" t="e">
        <f t="shared" si="6"/>
        <v>#VALUE!</v>
      </c>
      <c r="M13" t="str">
        <f>VLOOKUP(G13, MaskTable!A:B, 2, FALSE)</f>
        <v>255.255.255.254</v>
      </c>
      <c r="N13" s="1" t="e">
        <f t="shared" si="7"/>
        <v>#VALUE!</v>
      </c>
      <c r="O13" t="str">
        <f t="shared" si="8"/>
        <v>N/A</v>
      </c>
      <c r="P13" t="str">
        <f t="shared" si="9"/>
        <v>N/A</v>
      </c>
      <c r="Q13" s="1" t="e">
        <f t="shared" si="10"/>
        <v>#VALUE!</v>
      </c>
      <c r="R13" t="e">
        <f t="shared" si="11"/>
        <v>#VALUE!</v>
      </c>
      <c r="S13" s="1" t="e">
        <f t="shared" si="12"/>
        <v>#VALUE!</v>
      </c>
    </row>
    <row r="14" spans="1:19" x14ac:dyDescent="0.25">
      <c r="A14" t="str">
        <f>Base!A14</f>
        <v>Síť 10</v>
      </c>
      <c r="B14" s="4">
        <f>Base!B14</f>
        <v>0</v>
      </c>
      <c r="C14" s="3">
        <f>Base!C14</f>
        <v>0</v>
      </c>
      <c r="D14" s="3">
        <f t="shared" si="0"/>
        <v>2</v>
      </c>
      <c r="E14">
        <f t="shared" si="1"/>
        <v>1</v>
      </c>
      <c r="F14">
        <f t="shared" si="2"/>
        <v>2</v>
      </c>
      <c r="G14">
        <f t="shared" si="3"/>
        <v>31</v>
      </c>
      <c r="H14" s="1" t="e">
        <f t="shared" si="4"/>
        <v>#VALUE!</v>
      </c>
      <c r="I14" t="e">
        <f t="shared" si="5"/>
        <v>#VALUE!</v>
      </c>
      <c r="L14" s="1" t="e">
        <f t="shared" si="6"/>
        <v>#VALUE!</v>
      </c>
      <c r="M14" t="str">
        <f>VLOOKUP(G14, MaskTable!A:B, 2, FALSE)</f>
        <v>255.255.255.254</v>
      </c>
      <c r="N14" s="1" t="e">
        <f t="shared" si="7"/>
        <v>#VALUE!</v>
      </c>
      <c r="O14" t="str">
        <f t="shared" si="8"/>
        <v>N/A</v>
      </c>
      <c r="P14" t="str">
        <f t="shared" si="9"/>
        <v>N/A</v>
      </c>
      <c r="Q14" s="1" t="e">
        <f t="shared" si="10"/>
        <v>#VALUE!</v>
      </c>
      <c r="R14" t="e">
        <f t="shared" si="11"/>
        <v>#VALUE!</v>
      </c>
      <c r="S14" s="1" t="e">
        <f t="shared" si="12"/>
        <v>#VALUE!</v>
      </c>
    </row>
    <row r="15" spans="1:19" x14ac:dyDescent="0.25">
      <c r="A15" t="str">
        <f>Base!A15</f>
        <v>Síť 11</v>
      </c>
      <c r="B15" s="4">
        <f>Base!B15</f>
        <v>0</v>
      </c>
      <c r="C15" s="3">
        <f>Base!C15</f>
        <v>0</v>
      </c>
      <c r="D15" s="3">
        <f t="shared" si="0"/>
        <v>2</v>
      </c>
      <c r="E15">
        <f t="shared" si="1"/>
        <v>1</v>
      </c>
      <c r="F15">
        <f t="shared" si="2"/>
        <v>2</v>
      </c>
      <c r="G15">
        <f t="shared" si="3"/>
        <v>31</v>
      </c>
      <c r="H15" s="1" t="e">
        <f t="shared" si="4"/>
        <v>#VALUE!</v>
      </c>
      <c r="I15" t="e">
        <f t="shared" si="5"/>
        <v>#VALUE!</v>
      </c>
      <c r="L15" s="1" t="e">
        <f t="shared" si="6"/>
        <v>#VALUE!</v>
      </c>
      <c r="M15" t="str">
        <f>VLOOKUP(G15, MaskTable!A:B, 2, FALSE)</f>
        <v>255.255.255.254</v>
      </c>
      <c r="N15" s="1" t="e">
        <f t="shared" si="7"/>
        <v>#VALUE!</v>
      </c>
      <c r="O15" t="str">
        <f t="shared" si="8"/>
        <v>N/A</v>
      </c>
      <c r="P15" t="str">
        <f t="shared" si="9"/>
        <v>N/A</v>
      </c>
      <c r="Q15" s="1" t="e">
        <f t="shared" si="10"/>
        <v>#VALUE!</v>
      </c>
      <c r="R15" t="e">
        <f t="shared" si="11"/>
        <v>#VALUE!</v>
      </c>
      <c r="S15" s="1" t="e">
        <f t="shared" si="12"/>
        <v>#VALUE!</v>
      </c>
    </row>
    <row r="16" spans="1:19" x14ac:dyDescent="0.25">
      <c r="A16" t="str">
        <f>Base!A16</f>
        <v>Síť 12</v>
      </c>
      <c r="B16" s="4">
        <f>Base!B16</f>
        <v>0</v>
      </c>
      <c r="C16" s="3">
        <f>Base!C16</f>
        <v>0</v>
      </c>
      <c r="D16" s="3">
        <f t="shared" si="0"/>
        <v>2</v>
      </c>
      <c r="E16">
        <f t="shared" si="1"/>
        <v>1</v>
      </c>
      <c r="F16">
        <f t="shared" si="2"/>
        <v>2</v>
      </c>
      <c r="G16">
        <f t="shared" si="3"/>
        <v>31</v>
      </c>
      <c r="H16" s="1" t="e">
        <f t="shared" si="4"/>
        <v>#VALUE!</v>
      </c>
      <c r="I16" t="e">
        <f t="shared" si="5"/>
        <v>#VALUE!</v>
      </c>
      <c r="L16" s="1" t="e">
        <f t="shared" si="6"/>
        <v>#VALUE!</v>
      </c>
      <c r="M16" t="str">
        <f>VLOOKUP(G16, MaskTable!A:B, 2, FALSE)</f>
        <v>255.255.255.254</v>
      </c>
      <c r="N16" s="1" t="e">
        <f t="shared" si="7"/>
        <v>#VALUE!</v>
      </c>
      <c r="O16" t="str">
        <f t="shared" si="8"/>
        <v>N/A</v>
      </c>
      <c r="P16" t="str">
        <f t="shared" si="9"/>
        <v>N/A</v>
      </c>
      <c r="Q16" s="1" t="e">
        <f t="shared" si="10"/>
        <v>#VALUE!</v>
      </c>
      <c r="R16" t="e">
        <f t="shared" si="11"/>
        <v>#VALUE!</v>
      </c>
      <c r="S16" s="1" t="e">
        <f t="shared" si="12"/>
        <v>#VALUE!</v>
      </c>
    </row>
    <row r="17" spans="1:19" x14ac:dyDescent="0.25">
      <c r="A17" t="str">
        <f>Base!A17</f>
        <v>Síť 13</v>
      </c>
      <c r="B17" s="4">
        <f>Base!B17</f>
        <v>0</v>
      </c>
      <c r="C17" s="3">
        <f>Base!C17</f>
        <v>0</v>
      </c>
      <c r="D17" s="3">
        <f t="shared" si="0"/>
        <v>2</v>
      </c>
      <c r="E17">
        <f t="shared" si="1"/>
        <v>1</v>
      </c>
      <c r="F17">
        <f t="shared" si="2"/>
        <v>2</v>
      </c>
      <c r="G17">
        <f t="shared" si="3"/>
        <v>31</v>
      </c>
      <c r="H17" s="1" t="e">
        <f t="shared" si="4"/>
        <v>#VALUE!</v>
      </c>
      <c r="I17" t="e">
        <f t="shared" si="5"/>
        <v>#VALUE!</v>
      </c>
      <c r="L17" s="1" t="e">
        <f t="shared" si="6"/>
        <v>#VALUE!</v>
      </c>
      <c r="M17" t="str">
        <f>VLOOKUP(G17, MaskTable!A:B, 2, FALSE)</f>
        <v>255.255.255.254</v>
      </c>
      <c r="N17" s="1" t="e">
        <f t="shared" si="7"/>
        <v>#VALUE!</v>
      </c>
      <c r="O17" t="str">
        <f t="shared" si="8"/>
        <v>N/A</v>
      </c>
      <c r="P17" t="str">
        <f t="shared" si="9"/>
        <v>N/A</v>
      </c>
      <c r="Q17" s="1" t="e">
        <f t="shared" si="10"/>
        <v>#VALUE!</v>
      </c>
      <c r="R17" t="e">
        <f t="shared" si="11"/>
        <v>#VALUE!</v>
      </c>
      <c r="S17" s="1" t="e">
        <f t="shared" si="12"/>
        <v>#VALUE!</v>
      </c>
    </row>
    <row r="18" spans="1:19" x14ac:dyDescent="0.25">
      <c r="A18" t="str">
        <f>Base!A18</f>
        <v>Síť 14</v>
      </c>
      <c r="B18" s="4">
        <f>Base!B18</f>
        <v>0</v>
      </c>
      <c r="C18" s="3">
        <f>Base!C18</f>
        <v>0</v>
      </c>
      <c r="D18" s="3">
        <f t="shared" si="0"/>
        <v>2</v>
      </c>
      <c r="E18">
        <f t="shared" si="1"/>
        <v>1</v>
      </c>
      <c r="F18">
        <f t="shared" si="2"/>
        <v>2</v>
      </c>
      <c r="G18">
        <f t="shared" si="3"/>
        <v>31</v>
      </c>
      <c r="H18" s="1" t="e">
        <f t="shared" si="4"/>
        <v>#VALUE!</v>
      </c>
      <c r="I18" t="e">
        <f t="shared" si="5"/>
        <v>#VALUE!</v>
      </c>
      <c r="L18" s="1" t="e">
        <f t="shared" si="6"/>
        <v>#VALUE!</v>
      </c>
      <c r="M18" t="str">
        <f>VLOOKUP(G18, MaskTable!A:B, 2, FALSE)</f>
        <v>255.255.255.254</v>
      </c>
      <c r="N18" s="1" t="e">
        <f t="shared" si="7"/>
        <v>#VALUE!</v>
      </c>
      <c r="O18" t="str">
        <f t="shared" si="8"/>
        <v>N/A</v>
      </c>
      <c r="P18" t="str">
        <f t="shared" si="9"/>
        <v>N/A</v>
      </c>
      <c r="Q18" s="1" t="e">
        <f t="shared" si="10"/>
        <v>#VALUE!</v>
      </c>
      <c r="R18" t="e">
        <f t="shared" si="11"/>
        <v>#VALUE!</v>
      </c>
      <c r="S18" s="1" t="e">
        <f t="shared" si="12"/>
        <v>#VALUE!</v>
      </c>
    </row>
    <row r="19" spans="1:19" x14ac:dyDescent="0.25">
      <c r="A19" t="str">
        <f>Base!A19</f>
        <v>Síť 15</v>
      </c>
      <c r="B19" s="4">
        <f>Base!B19</f>
        <v>0</v>
      </c>
      <c r="C19" s="3">
        <f>Base!C19</f>
        <v>0</v>
      </c>
      <c r="D19" s="3">
        <f t="shared" si="0"/>
        <v>2</v>
      </c>
      <c r="E19">
        <f t="shared" si="1"/>
        <v>1</v>
      </c>
      <c r="F19">
        <f t="shared" si="2"/>
        <v>2</v>
      </c>
      <c r="G19">
        <f t="shared" si="3"/>
        <v>31</v>
      </c>
      <c r="H19" s="1" t="e">
        <f t="shared" si="4"/>
        <v>#VALUE!</v>
      </c>
      <c r="I19" t="e">
        <f t="shared" si="5"/>
        <v>#VALUE!</v>
      </c>
      <c r="L19" s="1" t="e">
        <f t="shared" si="6"/>
        <v>#VALUE!</v>
      </c>
      <c r="M19" t="str">
        <f>VLOOKUP(G19, MaskTable!A:B, 2, FALSE)</f>
        <v>255.255.255.254</v>
      </c>
      <c r="N19" s="1" t="e">
        <f t="shared" si="7"/>
        <v>#VALUE!</v>
      </c>
      <c r="O19" t="str">
        <f t="shared" si="8"/>
        <v>N/A</v>
      </c>
      <c r="P19" t="str">
        <f t="shared" si="9"/>
        <v>N/A</v>
      </c>
      <c r="Q19" s="1" t="e">
        <f t="shared" si="10"/>
        <v>#VALUE!</v>
      </c>
      <c r="R19" t="e">
        <f t="shared" si="11"/>
        <v>#VALUE!</v>
      </c>
      <c r="S19" s="1" t="e">
        <f t="shared" si="12"/>
        <v>#VALUE!</v>
      </c>
    </row>
    <row r="20" spans="1:19" x14ac:dyDescent="0.25">
      <c r="A20" t="str">
        <f>Base!A20</f>
        <v>Síť 16</v>
      </c>
      <c r="B20" s="4">
        <f ca="1">B20</f>
        <v>0</v>
      </c>
      <c r="C20" s="3">
        <f>Base!C20</f>
        <v>0</v>
      </c>
      <c r="D20" s="3">
        <f t="shared" ca="1" si="0"/>
        <v>2</v>
      </c>
      <c r="E20">
        <f t="shared" ca="1" si="1"/>
        <v>1</v>
      </c>
      <c r="F20">
        <f t="shared" ca="1" si="2"/>
        <v>256</v>
      </c>
      <c r="G20">
        <f t="shared" ca="1" si="3"/>
        <v>31</v>
      </c>
      <c r="H20" s="1" t="e">
        <f t="shared" si="4"/>
        <v>#VALUE!</v>
      </c>
      <c r="I20" t="e">
        <f t="shared" si="5"/>
        <v>#VALUE!</v>
      </c>
      <c r="L20" s="1" t="e">
        <f t="shared" si="6"/>
        <v>#VALUE!</v>
      </c>
      <c r="M20" t="str">
        <f ca="1">VLOOKUP(G20, MaskTable!A:B, 2, FALSE)</f>
        <v>255.255.255.128</v>
      </c>
      <c r="N20" s="1" t="e">
        <f t="shared" si="7"/>
        <v>#VALUE!</v>
      </c>
      <c r="O20" t="str">
        <f t="shared" si="8"/>
        <v>N/A</v>
      </c>
      <c r="P20" t="str">
        <f t="shared" si="9"/>
        <v>N/A</v>
      </c>
      <c r="Q20" s="1" t="e">
        <f t="shared" si="10"/>
        <v>#VALUE!</v>
      </c>
      <c r="R20" t="str">
        <f t="shared" ca="1" si="11"/>
        <v>192.168.2.126</v>
      </c>
      <c r="S20" s="1" t="str">
        <f t="shared" ca="1" si="12"/>
        <v>192.168.2.127</v>
      </c>
    </row>
    <row r="21" spans="1:19" x14ac:dyDescent="0.25">
      <c r="A21" t="str">
        <f>Base!A21</f>
        <v>Síť 17</v>
      </c>
      <c r="B21" s="4">
        <f ca="1">B21</f>
        <v>0</v>
      </c>
      <c r="C21" s="3">
        <f>Base!C21</f>
        <v>0</v>
      </c>
      <c r="D21" s="3">
        <f t="shared" ca="1" si="0"/>
        <v>2</v>
      </c>
      <c r="E21">
        <f t="shared" ca="1" si="1"/>
        <v>1</v>
      </c>
      <c r="F21">
        <f t="shared" ca="1" si="2"/>
        <v>256</v>
      </c>
      <c r="G21">
        <f t="shared" ca="1" si="3"/>
        <v>31</v>
      </c>
      <c r="H21" s="1">
        <f t="shared" ca="1" si="4"/>
        <v>0</v>
      </c>
      <c r="I21">
        <f t="shared" ca="1" si="5"/>
        <v>2</v>
      </c>
      <c r="L21" s="1" t="str">
        <f t="shared" ca="1" si="6"/>
        <v>192.168.2.0</v>
      </c>
      <c r="M21" t="str">
        <f ca="1">VLOOKUP(G21, MaskTable!A:B, 2, FALSE)</f>
        <v>255.255.255.128</v>
      </c>
      <c r="N21" s="1" t="str">
        <f t="shared" ca="1" si="7"/>
        <v>192.168.2.1</v>
      </c>
      <c r="O21" t="str">
        <f t="shared" si="8"/>
        <v>N/A</v>
      </c>
      <c r="P21" t="str">
        <f t="shared" si="9"/>
        <v>N/A</v>
      </c>
      <c r="Q21" s="1" t="str">
        <f t="shared" ca="1" si="10"/>
        <v>192.168.2.3</v>
      </c>
      <c r="R21" t="str">
        <f t="shared" ca="1" si="11"/>
        <v>192.168.2.126</v>
      </c>
      <c r="S21" s="1" t="str">
        <f t="shared" ca="1" si="12"/>
        <v>192.168.2.127</v>
      </c>
    </row>
    <row r="22" spans="1:19" x14ac:dyDescent="0.25">
      <c r="A22" t="str">
        <f>Base!A22</f>
        <v>Síť 18</v>
      </c>
      <c r="B22" s="4">
        <f ca="1">B22</f>
        <v>0</v>
      </c>
      <c r="C22" s="3">
        <f>Base!C22</f>
        <v>0</v>
      </c>
      <c r="D22" s="3">
        <f t="shared" ca="1" si="0"/>
        <v>2</v>
      </c>
      <c r="E22">
        <f t="shared" ca="1" si="1"/>
        <v>1</v>
      </c>
      <c r="F22">
        <f t="shared" ca="1" si="2"/>
        <v>256</v>
      </c>
      <c r="G22">
        <f t="shared" ca="1" si="3"/>
        <v>31</v>
      </c>
      <c r="H22" s="1">
        <f t="shared" ca="1" si="4"/>
        <v>0</v>
      </c>
      <c r="I22">
        <f t="shared" ca="1" si="5"/>
        <v>2</v>
      </c>
      <c r="L22" s="1" t="str">
        <f t="shared" ca="1" si="6"/>
        <v>192.168.2.0</v>
      </c>
      <c r="M22" t="str">
        <f ca="1">VLOOKUP(G22, MaskTable!A:B, 2, FALSE)</f>
        <v>255.255.255.128</v>
      </c>
      <c r="N22" s="1" t="str">
        <f t="shared" ca="1" si="7"/>
        <v>192.168.2.1</v>
      </c>
      <c r="O22" t="str">
        <f t="shared" si="8"/>
        <v>N/A</v>
      </c>
      <c r="P22" t="str">
        <f t="shared" si="9"/>
        <v>N/A</v>
      </c>
      <c r="Q22" s="1" t="str">
        <f t="shared" ca="1" si="10"/>
        <v>192.168.2.3</v>
      </c>
      <c r="R22" t="str">
        <f t="shared" ca="1" si="11"/>
        <v>192.168.2.126</v>
      </c>
      <c r="S22" s="1" t="str">
        <f t="shared" ca="1" si="12"/>
        <v>192.168.2.127</v>
      </c>
    </row>
    <row r="23" spans="1:19" x14ac:dyDescent="0.25">
      <c r="A23" t="str">
        <f>Base!A23</f>
        <v>Síť 19</v>
      </c>
      <c r="B23" s="4">
        <f ca="1">B23</f>
        <v>0</v>
      </c>
      <c r="C23" s="3">
        <f>Base!C23</f>
        <v>0</v>
      </c>
      <c r="D23" s="3">
        <f t="shared" ca="1" si="0"/>
        <v>2</v>
      </c>
      <c r="E23">
        <f t="shared" ca="1" si="1"/>
        <v>1</v>
      </c>
      <c r="F23">
        <f t="shared" ca="1" si="2"/>
        <v>256</v>
      </c>
      <c r="G23">
        <f t="shared" ca="1" si="3"/>
        <v>31</v>
      </c>
      <c r="H23" s="1">
        <f t="shared" ca="1" si="4"/>
        <v>0</v>
      </c>
      <c r="I23">
        <f t="shared" ca="1" si="5"/>
        <v>2</v>
      </c>
      <c r="L23" s="1" t="str">
        <f t="shared" ca="1" si="6"/>
        <v>192.168.2.0</v>
      </c>
      <c r="M23" t="str">
        <f ca="1">VLOOKUP(G23, MaskTable!A:B, 2, FALSE)</f>
        <v>255.255.255.128</v>
      </c>
      <c r="N23" s="1" t="str">
        <f t="shared" ca="1" si="7"/>
        <v>192.168.2.1</v>
      </c>
      <c r="O23" t="str">
        <f t="shared" si="8"/>
        <v>N/A</v>
      </c>
      <c r="P23" t="str">
        <f t="shared" si="9"/>
        <v>N/A</v>
      </c>
      <c r="Q23" s="1" t="str">
        <f t="shared" ca="1" si="10"/>
        <v>192.168.2.3</v>
      </c>
      <c r="R23" t="str">
        <f t="shared" ca="1" si="11"/>
        <v>192.168.2.126</v>
      </c>
      <c r="S23" s="1" t="str">
        <f t="shared" ca="1" si="12"/>
        <v>192.168.2.127</v>
      </c>
    </row>
    <row r="24" spans="1:19" x14ac:dyDescent="0.25">
      <c r="A24" t="str">
        <f>Base!A24</f>
        <v>Síť 20</v>
      </c>
      <c r="B24" s="4">
        <f ca="1">B24</f>
        <v>0</v>
      </c>
      <c r="C24" s="3">
        <f>Base!C24</f>
        <v>0</v>
      </c>
      <c r="D24" s="3">
        <f t="shared" ca="1" si="0"/>
        <v>2</v>
      </c>
      <c r="E24">
        <f t="shared" ca="1" si="1"/>
        <v>1</v>
      </c>
      <c r="F24">
        <f t="shared" ca="1" si="2"/>
        <v>256</v>
      </c>
      <c r="G24">
        <f t="shared" ca="1" si="3"/>
        <v>31</v>
      </c>
      <c r="H24" s="1">
        <f t="shared" ca="1" si="4"/>
        <v>0</v>
      </c>
      <c r="I24">
        <f t="shared" ca="1" si="5"/>
        <v>2</v>
      </c>
      <c r="L24" s="1" t="str">
        <f t="shared" ca="1" si="6"/>
        <v>192.168.2.0</v>
      </c>
      <c r="M24" t="str">
        <f ca="1">VLOOKUP(G24, MaskTable!A:B, 2, FALSE)</f>
        <v>255.255.255.128</v>
      </c>
      <c r="N24" s="1" t="str">
        <f t="shared" ca="1" si="7"/>
        <v>192.168.2.1</v>
      </c>
      <c r="O24" t="str">
        <f t="shared" si="8"/>
        <v>N/A</v>
      </c>
      <c r="P24" t="str">
        <f t="shared" si="9"/>
        <v>N/A</v>
      </c>
      <c r="Q24" s="1" t="str">
        <f t="shared" ca="1" si="10"/>
        <v>192.168.2.3</v>
      </c>
      <c r="R24" t="str">
        <f t="shared" ca="1" si="11"/>
        <v>192.168.2.126</v>
      </c>
      <c r="S24" s="1" t="str">
        <f t="shared" ca="1" si="12"/>
        <v>192.168.2.127</v>
      </c>
    </row>
    <row r="25" spans="1:19" x14ac:dyDescent="0.25">
      <c r="A25" t="str">
        <f>Base!A25</f>
        <v>Síť 21</v>
      </c>
      <c r="B25" s="4">
        <f ca="1">B25</f>
        <v>0</v>
      </c>
      <c r="C25" s="3">
        <f>Base!C25</f>
        <v>0</v>
      </c>
      <c r="D25" s="3">
        <f t="shared" ca="1" si="0"/>
        <v>2</v>
      </c>
      <c r="E25">
        <f t="shared" ca="1" si="1"/>
        <v>1</v>
      </c>
      <c r="F25">
        <f t="shared" ca="1" si="2"/>
        <v>256</v>
      </c>
      <c r="G25">
        <f t="shared" ca="1" si="3"/>
        <v>31</v>
      </c>
      <c r="H25" s="1">
        <f t="shared" ca="1" si="4"/>
        <v>0</v>
      </c>
      <c r="I25">
        <f t="shared" ca="1" si="5"/>
        <v>2</v>
      </c>
      <c r="L25" s="1" t="str">
        <f t="shared" ca="1" si="6"/>
        <v>192.168.2.0</v>
      </c>
      <c r="M25" t="str">
        <f ca="1">VLOOKUP(G25, MaskTable!A:B, 2, FALSE)</f>
        <v>255.255.255.128</v>
      </c>
      <c r="N25" s="1" t="str">
        <f t="shared" ca="1" si="7"/>
        <v>192.168.2.1</v>
      </c>
      <c r="O25" t="str">
        <f t="shared" si="8"/>
        <v>N/A</v>
      </c>
      <c r="P25" t="str">
        <f t="shared" si="9"/>
        <v>N/A</v>
      </c>
      <c r="Q25" s="1" t="str">
        <f t="shared" ca="1" si="10"/>
        <v>192.168.2.3</v>
      </c>
      <c r="R25" t="str">
        <f t="shared" ca="1" si="11"/>
        <v>192.168.2.126</v>
      </c>
      <c r="S25" s="1" t="str">
        <f t="shared" ca="1" si="12"/>
        <v>192.168.2.127</v>
      </c>
    </row>
    <row r="26" spans="1:19" x14ac:dyDescent="0.25">
      <c r="A26" t="str">
        <f>Base!A26</f>
        <v>Síť 22</v>
      </c>
      <c r="B26" s="4">
        <f ca="1">B26</f>
        <v>0</v>
      </c>
      <c r="C26" s="3">
        <f>Base!C26</f>
        <v>0</v>
      </c>
      <c r="D26" s="3">
        <f t="shared" ca="1" si="0"/>
        <v>2</v>
      </c>
      <c r="E26">
        <f t="shared" ca="1" si="1"/>
        <v>1</v>
      </c>
      <c r="F26">
        <f t="shared" ca="1" si="2"/>
        <v>256</v>
      </c>
      <c r="G26">
        <f t="shared" ca="1" si="3"/>
        <v>31</v>
      </c>
      <c r="H26" s="1">
        <f t="shared" ca="1" si="4"/>
        <v>0</v>
      </c>
      <c r="I26">
        <f t="shared" ca="1" si="5"/>
        <v>2</v>
      </c>
      <c r="L26" s="1" t="str">
        <f t="shared" ca="1" si="6"/>
        <v>192.168.2.0</v>
      </c>
      <c r="M26" t="str">
        <f ca="1">VLOOKUP(G26, MaskTable!A:B, 2, FALSE)</f>
        <v>255.255.255.128</v>
      </c>
      <c r="N26" s="1" t="str">
        <f t="shared" ca="1" si="7"/>
        <v>192.168.2.1</v>
      </c>
      <c r="O26" t="str">
        <f t="shared" si="8"/>
        <v>N/A</v>
      </c>
      <c r="P26" t="str">
        <f t="shared" si="9"/>
        <v>N/A</v>
      </c>
      <c r="Q26" s="1" t="str">
        <f t="shared" ca="1" si="10"/>
        <v>192.168.2.3</v>
      </c>
      <c r="R26" t="str">
        <f t="shared" ca="1" si="11"/>
        <v>192.168.2.126</v>
      </c>
      <c r="S26" s="1" t="str">
        <f t="shared" ca="1" si="12"/>
        <v>192.168.2.127</v>
      </c>
    </row>
    <row r="27" spans="1:19" x14ac:dyDescent="0.25">
      <c r="A27" t="str">
        <f>Base!A27</f>
        <v>Síť 23</v>
      </c>
      <c r="B27" s="4">
        <f ca="1">B27</f>
        <v>0</v>
      </c>
      <c r="C27" s="3">
        <f>Base!C27</f>
        <v>0</v>
      </c>
      <c r="D27" s="3">
        <f t="shared" ca="1" si="0"/>
        <v>2</v>
      </c>
      <c r="E27">
        <f t="shared" ca="1" si="1"/>
        <v>1</v>
      </c>
      <c r="F27">
        <f t="shared" ca="1" si="2"/>
        <v>256</v>
      </c>
      <c r="G27">
        <f t="shared" ca="1" si="3"/>
        <v>31</v>
      </c>
      <c r="H27" s="1">
        <f t="shared" ca="1" si="4"/>
        <v>0</v>
      </c>
      <c r="I27">
        <f t="shared" ca="1" si="5"/>
        <v>2</v>
      </c>
      <c r="L27" s="1" t="str">
        <f t="shared" ca="1" si="6"/>
        <v>192.168.2.0</v>
      </c>
      <c r="M27" t="str">
        <f ca="1">VLOOKUP(G27, MaskTable!A:B, 2, FALSE)</f>
        <v>255.255.255.128</v>
      </c>
      <c r="N27" s="1" t="str">
        <f t="shared" ca="1" si="7"/>
        <v>192.168.2.1</v>
      </c>
      <c r="O27" t="str">
        <f t="shared" si="8"/>
        <v>N/A</v>
      </c>
      <c r="P27" t="str">
        <f t="shared" si="9"/>
        <v>N/A</v>
      </c>
      <c r="Q27" s="1" t="str">
        <f t="shared" ca="1" si="10"/>
        <v>192.168.2.3</v>
      </c>
      <c r="R27" t="str">
        <f t="shared" ca="1" si="11"/>
        <v>192.168.2.126</v>
      </c>
      <c r="S27" s="1" t="str">
        <f t="shared" ca="1" si="12"/>
        <v>192.168.2.127</v>
      </c>
    </row>
    <row r="28" spans="1:19" x14ac:dyDescent="0.25">
      <c r="A28" t="str">
        <f>Base!A28</f>
        <v>Síť 24</v>
      </c>
      <c r="B28" s="4">
        <f ca="1">B28</f>
        <v>0</v>
      </c>
      <c r="C28" s="3">
        <f>Base!C28</f>
        <v>0</v>
      </c>
      <c r="D28" s="3">
        <f t="shared" ca="1" si="0"/>
        <v>2</v>
      </c>
      <c r="E28">
        <f t="shared" ca="1" si="1"/>
        <v>1</v>
      </c>
      <c r="F28">
        <f t="shared" ca="1" si="2"/>
        <v>256</v>
      </c>
      <c r="G28">
        <f t="shared" ca="1" si="3"/>
        <v>31</v>
      </c>
      <c r="H28" s="1">
        <f t="shared" ca="1" si="4"/>
        <v>0</v>
      </c>
      <c r="I28">
        <f t="shared" ca="1" si="5"/>
        <v>2</v>
      </c>
      <c r="L28" s="1" t="str">
        <f t="shared" ca="1" si="6"/>
        <v>192.168.2.0</v>
      </c>
      <c r="M28" t="str">
        <f ca="1">VLOOKUP(G28, MaskTable!A:B, 2, FALSE)</f>
        <v>255.255.255.128</v>
      </c>
      <c r="N28" s="1" t="str">
        <f t="shared" ca="1" si="7"/>
        <v>192.168.2.1</v>
      </c>
      <c r="O28" t="str">
        <f t="shared" si="8"/>
        <v>N/A</v>
      </c>
      <c r="P28" t="str">
        <f t="shared" si="9"/>
        <v>N/A</v>
      </c>
      <c r="Q28" s="1" t="str">
        <f t="shared" ca="1" si="10"/>
        <v>192.168.2.3</v>
      </c>
      <c r="R28" t="str">
        <f t="shared" ca="1" si="11"/>
        <v>192.168.2.126</v>
      </c>
      <c r="S28" s="1" t="str">
        <f t="shared" ca="1" si="12"/>
        <v>192.168.2.127</v>
      </c>
    </row>
    <row r="29" spans="1:19" x14ac:dyDescent="0.25">
      <c r="A29" t="str">
        <f>Base!A29</f>
        <v>Síť 25</v>
      </c>
      <c r="B29" s="4">
        <f ca="1">B29</f>
        <v>0</v>
      </c>
      <c r="C29" s="3">
        <f>Base!C29</f>
        <v>0</v>
      </c>
      <c r="D29" s="3">
        <f t="shared" ca="1" si="0"/>
        <v>2</v>
      </c>
      <c r="E29">
        <f t="shared" ca="1" si="1"/>
        <v>1</v>
      </c>
      <c r="F29">
        <f t="shared" ca="1" si="2"/>
        <v>256</v>
      </c>
      <c r="G29">
        <f t="shared" ca="1" si="3"/>
        <v>31</v>
      </c>
      <c r="H29" s="1">
        <f t="shared" ca="1" si="4"/>
        <v>0</v>
      </c>
      <c r="I29">
        <f t="shared" ca="1" si="5"/>
        <v>2</v>
      </c>
      <c r="L29" s="1" t="str">
        <f t="shared" ca="1" si="6"/>
        <v>192.168.2.0</v>
      </c>
      <c r="M29" t="str">
        <f ca="1">VLOOKUP(G29, MaskTable!A:B, 2, FALSE)</f>
        <v>255.255.255.128</v>
      </c>
      <c r="N29" s="1" t="str">
        <f t="shared" ca="1" si="7"/>
        <v>192.168.2.1</v>
      </c>
      <c r="O29" t="str">
        <f t="shared" si="8"/>
        <v>N/A</v>
      </c>
      <c r="P29" t="str">
        <f t="shared" si="9"/>
        <v>N/A</v>
      </c>
      <c r="Q29" s="1" t="str">
        <f t="shared" ca="1" si="10"/>
        <v>192.168.2.3</v>
      </c>
      <c r="R29" t="str">
        <f t="shared" ca="1" si="11"/>
        <v>192.168.2.126</v>
      </c>
      <c r="S29" s="1" t="str">
        <f t="shared" ca="1" si="12"/>
        <v>192.168.2.127</v>
      </c>
    </row>
    <row r="30" spans="1:19" x14ac:dyDescent="0.25">
      <c r="A30" t="str">
        <f>Base!A30</f>
        <v>Síť 26</v>
      </c>
      <c r="B30" s="4">
        <f>Base!B30</f>
        <v>0</v>
      </c>
      <c r="C30" s="3">
        <f>Base!C30</f>
        <v>0</v>
      </c>
      <c r="D30" s="3">
        <f t="shared" si="0"/>
        <v>2</v>
      </c>
      <c r="E30">
        <f t="shared" si="1"/>
        <v>1</v>
      </c>
      <c r="F30">
        <f t="shared" si="2"/>
        <v>2</v>
      </c>
      <c r="G30">
        <f t="shared" si="3"/>
        <v>31</v>
      </c>
      <c r="H30" s="1">
        <f t="shared" ca="1" si="4"/>
        <v>0</v>
      </c>
      <c r="I30">
        <f t="shared" ca="1" si="5"/>
        <v>2</v>
      </c>
      <c r="L30" s="1" t="str">
        <f t="shared" ca="1" si="6"/>
        <v>192.168.2.0</v>
      </c>
      <c r="M30" t="str">
        <f>VLOOKUP(G30, MaskTable!A:B, 2, FALSE)</f>
        <v>255.255.255.254</v>
      </c>
      <c r="N30" s="1" t="str">
        <f t="shared" ca="1" si="7"/>
        <v>192.168.2.1</v>
      </c>
      <c r="O30" t="str">
        <f t="shared" si="8"/>
        <v>N/A</v>
      </c>
      <c r="P30" t="str">
        <f t="shared" si="9"/>
        <v>N/A</v>
      </c>
      <c r="Q30" s="1" t="str">
        <f t="shared" ca="1" si="10"/>
        <v>192.168.2.3</v>
      </c>
      <c r="R30" t="str">
        <f t="shared" ca="1" si="11"/>
        <v>192.168.2.126</v>
      </c>
      <c r="S30" s="1" t="str">
        <f t="shared" ca="1" si="12"/>
        <v>192.168.2.127</v>
      </c>
    </row>
    <row r="31" spans="1:19" x14ac:dyDescent="0.25">
      <c r="A31" t="str">
        <f>Base!A31</f>
        <v>Síť 27</v>
      </c>
      <c r="B31" s="4">
        <f>Base!B31</f>
        <v>0</v>
      </c>
      <c r="C31" s="3">
        <f>Base!C31</f>
        <v>0</v>
      </c>
      <c r="D31" s="3">
        <f t="shared" si="0"/>
        <v>2</v>
      </c>
      <c r="E31">
        <f t="shared" si="1"/>
        <v>1</v>
      </c>
      <c r="F31">
        <f t="shared" si="2"/>
        <v>2</v>
      </c>
      <c r="G31">
        <f t="shared" si="3"/>
        <v>31</v>
      </c>
      <c r="H31" s="1">
        <f t="shared" ca="1" si="4"/>
        <v>0</v>
      </c>
      <c r="I31">
        <f t="shared" ca="1" si="5"/>
        <v>2</v>
      </c>
      <c r="L31" s="1" t="str">
        <f t="shared" ca="1" si="6"/>
        <v>192.168.2.0</v>
      </c>
      <c r="M31" t="str">
        <f>VLOOKUP(G31, MaskTable!A:B, 2, FALSE)</f>
        <v>255.255.255.254</v>
      </c>
      <c r="N31" s="1" t="str">
        <f t="shared" ca="1" si="7"/>
        <v>192.168.2.1</v>
      </c>
      <c r="O31" t="str">
        <f t="shared" si="8"/>
        <v>N/A</v>
      </c>
      <c r="P31" t="str">
        <f t="shared" si="9"/>
        <v>N/A</v>
      </c>
      <c r="Q31" s="1" t="str">
        <f t="shared" ca="1" si="10"/>
        <v>192.168.2.3</v>
      </c>
      <c r="R31" t="str">
        <f t="shared" ca="1" si="11"/>
        <v>192.168.2.126</v>
      </c>
      <c r="S31" s="1" t="str">
        <f t="shared" ca="1" si="12"/>
        <v>192.168.2.127</v>
      </c>
    </row>
    <row r="32" spans="1:19" x14ac:dyDescent="0.25">
      <c r="A32" t="str">
        <f>Base!A32</f>
        <v>Síť 28</v>
      </c>
      <c r="B32" s="4">
        <f>Base!B32</f>
        <v>0</v>
      </c>
      <c r="C32" s="3">
        <f>Base!C32</f>
        <v>0</v>
      </c>
      <c r="D32" s="3">
        <f t="shared" si="0"/>
        <v>2</v>
      </c>
      <c r="E32">
        <f t="shared" si="1"/>
        <v>1</v>
      </c>
      <c r="F32">
        <f t="shared" si="2"/>
        <v>2</v>
      </c>
      <c r="G32">
        <f t="shared" si="3"/>
        <v>31</v>
      </c>
      <c r="H32" s="1">
        <f t="shared" ca="1" si="4"/>
        <v>0</v>
      </c>
      <c r="I32">
        <f t="shared" ca="1" si="5"/>
        <v>2</v>
      </c>
      <c r="L32" s="1" t="str">
        <f t="shared" ca="1" si="6"/>
        <v>192.168.2.0</v>
      </c>
      <c r="M32" t="str">
        <f>VLOOKUP(G32, MaskTable!A:B, 2, FALSE)</f>
        <v>255.255.255.254</v>
      </c>
      <c r="N32" s="1" t="str">
        <f t="shared" ca="1" si="7"/>
        <v>192.168.2.1</v>
      </c>
      <c r="O32" t="str">
        <f t="shared" si="8"/>
        <v>N/A</v>
      </c>
      <c r="P32" t="str">
        <f t="shared" si="9"/>
        <v>N/A</v>
      </c>
      <c r="Q32" s="1" t="str">
        <f t="shared" ca="1" si="10"/>
        <v>192.168.2.3</v>
      </c>
      <c r="R32" t="str">
        <f t="shared" ca="1" si="11"/>
        <v>192.168.2.126</v>
      </c>
      <c r="S32" s="1" t="str">
        <f t="shared" ca="1" si="12"/>
        <v>192.168.2.127</v>
      </c>
    </row>
    <row r="33" spans="1:19" x14ac:dyDescent="0.25">
      <c r="A33" t="str">
        <f>Base!A33</f>
        <v>Síť 29</v>
      </c>
      <c r="B33" s="4">
        <f>Base!B33</f>
        <v>0</v>
      </c>
      <c r="C33" s="3">
        <f>Base!C33</f>
        <v>0</v>
      </c>
      <c r="D33" s="3">
        <f t="shared" si="0"/>
        <v>2</v>
      </c>
      <c r="E33">
        <f t="shared" si="1"/>
        <v>1</v>
      </c>
      <c r="F33">
        <f t="shared" si="2"/>
        <v>2</v>
      </c>
      <c r="G33">
        <f t="shared" si="3"/>
        <v>31</v>
      </c>
      <c r="H33" s="1">
        <f t="shared" ca="1" si="4"/>
        <v>0</v>
      </c>
      <c r="I33">
        <f t="shared" ca="1" si="5"/>
        <v>2</v>
      </c>
      <c r="L33" s="1" t="str">
        <f t="shared" ca="1" si="6"/>
        <v>192.168.2.0</v>
      </c>
      <c r="M33" t="str">
        <f>VLOOKUP(G33, MaskTable!A:B, 2, FALSE)</f>
        <v>255.255.255.254</v>
      </c>
      <c r="N33" s="1" t="str">
        <f t="shared" ca="1" si="7"/>
        <v>192.168.2.1</v>
      </c>
      <c r="O33" t="str">
        <f t="shared" si="8"/>
        <v>N/A</v>
      </c>
      <c r="P33" t="str">
        <f t="shared" si="9"/>
        <v>N/A</v>
      </c>
      <c r="Q33" s="1" t="str">
        <f t="shared" ca="1" si="10"/>
        <v>192.168.2.3</v>
      </c>
      <c r="R33" t="str">
        <f t="shared" ca="1" si="11"/>
        <v>192.168.2.126</v>
      </c>
      <c r="S33" s="1" t="str">
        <f t="shared" ca="1" si="12"/>
        <v>192.168.2.127</v>
      </c>
    </row>
    <row r="34" spans="1:19" x14ac:dyDescent="0.25">
      <c r="A34" t="str">
        <f>Base!A34</f>
        <v>Síť 30</v>
      </c>
      <c r="B34" s="4">
        <f>Base!B34</f>
        <v>0</v>
      </c>
      <c r="C34" s="3">
        <f>Base!C34</f>
        <v>0</v>
      </c>
      <c r="D34" s="3">
        <f t="shared" si="0"/>
        <v>2</v>
      </c>
      <c r="E34">
        <f t="shared" si="1"/>
        <v>1</v>
      </c>
      <c r="F34">
        <f t="shared" si="2"/>
        <v>2</v>
      </c>
      <c r="G34">
        <f t="shared" si="3"/>
        <v>31</v>
      </c>
      <c r="H34" s="1">
        <f t="shared" ca="1" si="4"/>
        <v>0</v>
      </c>
      <c r="I34">
        <f t="shared" ca="1" si="5"/>
        <v>2</v>
      </c>
      <c r="L34" s="1" t="str">
        <f t="shared" ca="1" si="6"/>
        <v>192.168.2.0</v>
      </c>
      <c r="M34" t="str">
        <f>VLOOKUP(G34, MaskTable!A:B, 2, FALSE)</f>
        <v>255.255.255.254</v>
      </c>
      <c r="N34" s="1" t="str">
        <f t="shared" ca="1" si="7"/>
        <v>192.168.2.1</v>
      </c>
      <c r="O34" t="str">
        <f t="shared" si="8"/>
        <v>N/A</v>
      </c>
      <c r="P34" t="str">
        <f t="shared" si="9"/>
        <v>N/A</v>
      </c>
      <c r="Q34" s="1" t="str">
        <f t="shared" ca="1" si="10"/>
        <v>192.168.2.3</v>
      </c>
      <c r="R34" t="str">
        <f t="shared" ca="1" si="11"/>
        <v>192.168.2.126</v>
      </c>
      <c r="S34" s="1" t="str">
        <f t="shared" ca="1" si="12"/>
        <v>192.168.2.127</v>
      </c>
    </row>
    <row r="35" spans="1:19" x14ac:dyDescent="0.25">
      <c r="A35" t="str">
        <f>Base!A35</f>
        <v>Síť 31</v>
      </c>
      <c r="B35" s="4">
        <f>Base!B35</f>
        <v>0</v>
      </c>
      <c r="C35" s="3">
        <f>Base!C35</f>
        <v>0</v>
      </c>
      <c r="D35" s="3">
        <f t="shared" si="0"/>
        <v>2</v>
      </c>
      <c r="E35">
        <f t="shared" si="1"/>
        <v>1</v>
      </c>
      <c r="F35">
        <f t="shared" si="2"/>
        <v>2</v>
      </c>
      <c r="G35">
        <f t="shared" si="3"/>
        <v>31</v>
      </c>
      <c r="H35" s="1">
        <f t="shared" ca="1" si="4"/>
        <v>0</v>
      </c>
      <c r="I35">
        <f t="shared" ca="1" si="5"/>
        <v>2</v>
      </c>
      <c r="L35" s="1" t="str">
        <f t="shared" ca="1" si="6"/>
        <v>192.168.2.0</v>
      </c>
      <c r="M35" t="str">
        <f>VLOOKUP(G35, MaskTable!A:B, 2, FALSE)</f>
        <v>255.255.255.254</v>
      </c>
      <c r="N35" s="1" t="str">
        <f t="shared" ca="1" si="7"/>
        <v>192.168.2.1</v>
      </c>
      <c r="O35" t="str">
        <f t="shared" si="8"/>
        <v>N/A</v>
      </c>
      <c r="P35" t="str">
        <f t="shared" si="9"/>
        <v>N/A</v>
      </c>
      <c r="Q35" s="1" t="str">
        <f t="shared" ca="1" si="10"/>
        <v>192.168.2.3</v>
      </c>
      <c r="R35" t="str">
        <f t="shared" ca="1" si="11"/>
        <v>192.168.2.126</v>
      </c>
      <c r="S35" s="1" t="str">
        <f t="shared" ca="1" si="12"/>
        <v>192.168.2.127</v>
      </c>
    </row>
    <row r="36" spans="1:19" x14ac:dyDescent="0.25">
      <c r="A36" t="str">
        <f>Base!A36</f>
        <v>Síť 32</v>
      </c>
      <c r="B36" s="4">
        <f>Base!B36</f>
        <v>0</v>
      </c>
      <c r="C36" s="3">
        <f>Base!C36</f>
        <v>0</v>
      </c>
      <c r="D36" s="3">
        <f t="shared" si="0"/>
        <v>2</v>
      </c>
      <c r="E36">
        <f t="shared" si="1"/>
        <v>1</v>
      </c>
      <c r="F36">
        <f t="shared" si="2"/>
        <v>2</v>
      </c>
      <c r="G36">
        <f t="shared" si="3"/>
        <v>31</v>
      </c>
      <c r="H36" s="1">
        <f t="shared" ca="1" si="4"/>
        <v>0</v>
      </c>
      <c r="I36">
        <f t="shared" ca="1" si="5"/>
        <v>2</v>
      </c>
      <c r="L36" s="1" t="str">
        <f t="shared" ca="1" si="6"/>
        <v>192.168.2.0</v>
      </c>
      <c r="M36" t="str">
        <f>VLOOKUP(G36, MaskTable!A:B, 2, FALSE)</f>
        <v>255.255.255.254</v>
      </c>
      <c r="N36" s="1" t="str">
        <f t="shared" ca="1" si="7"/>
        <v>192.168.2.1</v>
      </c>
      <c r="O36" t="str">
        <f t="shared" si="8"/>
        <v>N/A</v>
      </c>
      <c r="P36" t="str">
        <f t="shared" si="9"/>
        <v>N/A</v>
      </c>
      <c r="Q36" s="1" t="str">
        <f t="shared" ca="1" si="10"/>
        <v>192.168.2.3</v>
      </c>
      <c r="R36" t="str">
        <f t="shared" ca="1" si="11"/>
        <v>192.168.2.126</v>
      </c>
      <c r="S36" s="1" t="str">
        <f t="shared" ca="1" si="12"/>
        <v>192.168.2.127</v>
      </c>
    </row>
    <row r="37" spans="1:19" x14ac:dyDescent="0.25">
      <c r="A37" t="str">
        <f>Base!A37</f>
        <v>Síť 33</v>
      </c>
      <c r="B37" s="4">
        <f>Base!B37</f>
        <v>0</v>
      </c>
      <c r="C37" s="3">
        <f>Base!C37</f>
        <v>0</v>
      </c>
      <c r="D37" s="3">
        <f t="shared" ref="D37:D60" si="13">B37+C37+2</f>
        <v>2</v>
      </c>
      <c r="E37">
        <f t="shared" si="1"/>
        <v>1</v>
      </c>
      <c r="F37">
        <f t="shared" si="2"/>
        <v>2</v>
      </c>
      <c r="G37">
        <f t="shared" ref="G37:G60" si="14">32-E37</f>
        <v>31</v>
      </c>
      <c r="H37" s="1">
        <f t="shared" ref="H37:H60" ca="1" si="15">MOD(H36+F36,256)</f>
        <v>0</v>
      </c>
      <c r="I37">
        <f t="shared" ref="I37:I60" ca="1" si="16">I36+TRUNC((H36+F36)/256)</f>
        <v>2</v>
      </c>
      <c r="L37" s="1" t="str">
        <f t="shared" ref="L37:L60" ca="1" si="17">CONCATENATE("192.168.",I37,".",H37)</f>
        <v>192.168.2.0</v>
      </c>
      <c r="M37" t="str">
        <f>VLOOKUP(G37, MaskTable!A:B, 2, FALSE)</f>
        <v>255.255.255.254</v>
      </c>
      <c r="N37" s="1" t="str">
        <f t="shared" ref="N37:N60" ca="1" si="18">CONCATENATE("192.168.",I37,".",H37+1)</f>
        <v>192.168.2.1</v>
      </c>
      <c r="O37" t="str">
        <f t="shared" ref="O37:O60" si="19">IF(C37&gt;0, CONCATENATE("192.168.",I37,".",H37+2), "N/A")</f>
        <v>N/A</v>
      </c>
      <c r="P37" t="str">
        <f t="shared" ref="P37:P60" si="20">IF(C37&gt;0, CONCATENATE("192.168.",I37,".",H37+1+C37), "N/A")</f>
        <v>N/A</v>
      </c>
      <c r="Q37" s="1" t="str">
        <f t="shared" ref="Q37:Q60" ca="1" si="21">CONCATENATE("192.168.",I37,".",IF(C37=0, H37+2, H37+2+C37))</f>
        <v>192.168.2.3</v>
      </c>
      <c r="R37" t="str">
        <f t="shared" ref="R37:R60" ca="1" si="22">CONCATENATE("192.168.",I37,".",H37+F37-2)</f>
        <v>192.168.2.126</v>
      </c>
      <c r="S37" s="1" t="str">
        <f t="shared" ref="S37:S60" ca="1" si="23">CONCATENATE("192.168.",I37,".",H37+F37-1)</f>
        <v>192.168.2.127</v>
      </c>
    </row>
    <row r="38" spans="1:19" x14ac:dyDescent="0.25">
      <c r="A38" t="str">
        <f>Base!A38</f>
        <v>Síť 34</v>
      </c>
      <c r="B38" s="4">
        <f>Base!B38</f>
        <v>0</v>
      </c>
      <c r="C38" s="3">
        <f>Base!C38</f>
        <v>0</v>
      </c>
      <c r="D38" s="3">
        <f t="shared" si="13"/>
        <v>2</v>
      </c>
      <c r="E38">
        <f t="shared" si="1"/>
        <v>1</v>
      </c>
      <c r="F38">
        <f t="shared" si="2"/>
        <v>2</v>
      </c>
      <c r="G38">
        <f t="shared" si="14"/>
        <v>31</v>
      </c>
      <c r="H38" s="1">
        <f t="shared" ca="1" si="15"/>
        <v>0</v>
      </c>
      <c r="I38">
        <f t="shared" ca="1" si="16"/>
        <v>2</v>
      </c>
      <c r="L38" s="1" t="str">
        <f t="shared" ca="1" si="17"/>
        <v>192.168.2.0</v>
      </c>
      <c r="M38" t="str">
        <f>VLOOKUP(G38, MaskTable!A:B, 2, FALSE)</f>
        <v>255.255.255.254</v>
      </c>
      <c r="N38" s="1" t="str">
        <f t="shared" ca="1" si="18"/>
        <v>192.168.2.1</v>
      </c>
      <c r="O38" t="str">
        <f t="shared" si="19"/>
        <v>N/A</v>
      </c>
      <c r="P38" t="str">
        <f t="shared" si="20"/>
        <v>N/A</v>
      </c>
      <c r="Q38" s="1" t="str">
        <f t="shared" ca="1" si="21"/>
        <v>192.168.2.3</v>
      </c>
      <c r="R38" t="str">
        <f t="shared" ca="1" si="22"/>
        <v>192.168.2.126</v>
      </c>
      <c r="S38" s="1" t="str">
        <f t="shared" ca="1" si="23"/>
        <v>192.168.2.127</v>
      </c>
    </row>
    <row r="39" spans="1:19" x14ac:dyDescent="0.25">
      <c r="A39" t="str">
        <f>Base!A39</f>
        <v>Síť 35</v>
      </c>
      <c r="B39" s="4">
        <f>Base!B39</f>
        <v>0</v>
      </c>
      <c r="C39" s="3">
        <f>Base!C39</f>
        <v>0</v>
      </c>
      <c r="D39" s="3">
        <f t="shared" si="13"/>
        <v>2</v>
      </c>
      <c r="E39">
        <f t="shared" si="1"/>
        <v>1</v>
      </c>
      <c r="F39">
        <f t="shared" si="2"/>
        <v>2</v>
      </c>
      <c r="G39">
        <f t="shared" si="14"/>
        <v>31</v>
      </c>
      <c r="H39" s="1">
        <f t="shared" ca="1" si="15"/>
        <v>0</v>
      </c>
      <c r="I39">
        <f t="shared" ca="1" si="16"/>
        <v>2</v>
      </c>
      <c r="L39" s="1" t="str">
        <f t="shared" ca="1" si="17"/>
        <v>192.168.2.0</v>
      </c>
      <c r="M39" t="str">
        <f>VLOOKUP(G39, MaskTable!A:B, 2, FALSE)</f>
        <v>255.255.255.254</v>
      </c>
      <c r="N39" s="1" t="str">
        <f t="shared" ca="1" si="18"/>
        <v>192.168.2.1</v>
      </c>
      <c r="O39" t="str">
        <f t="shared" si="19"/>
        <v>N/A</v>
      </c>
      <c r="P39" t="str">
        <f t="shared" si="20"/>
        <v>N/A</v>
      </c>
      <c r="Q39" s="1" t="str">
        <f t="shared" ca="1" si="21"/>
        <v>192.168.2.3</v>
      </c>
      <c r="R39" t="str">
        <f t="shared" ca="1" si="22"/>
        <v>192.168.2.126</v>
      </c>
      <c r="S39" s="1" t="str">
        <f t="shared" ca="1" si="23"/>
        <v>192.168.2.127</v>
      </c>
    </row>
    <row r="40" spans="1:19" x14ac:dyDescent="0.25">
      <c r="A40" t="str">
        <f>Base!A40</f>
        <v>Síť 36</v>
      </c>
      <c r="B40" s="4">
        <f>Base!B40</f>
        <v>0</v>
      </c>
      <c r="C40" s="3">
        <f>Base!C40</f>
        <v>0</v>
      </c>
      <c r="D40" s="3">
        <f t="shared" si="13"/>
        <v>2</v>
      </c>
      <c r="E40">
        <f t="shared" si="1"/>
        <v>1</v>
      </c>
      <c r="F40">
        <f t="shared" si="2"/>
        <v>2</v>
      </c>
      <c r="G40">
        <f t="shared" si="14"/>
        <v>31</v>
      </c>
      <c r="H40" s="1">
        <f t="shared" ca="1" si="15"/>
        <v>0</v>
      </c>
      <c r="I40">
        <f t="shared" ca="1" si="16"/>
        <v>2</v>
      </c>
      <c r="L40" s="1" t="str">
        <f t="shared" ca="1" si="17"/>
        <v>192.168.2.0</v>
      </c>
      <c r="M40" t="str">
        <f>VLOOKUP(G40, MaskTable!A:B, 2, FALSE)</f>
        <v>255.255.255.254</v>
      </c>
      <c r="N40" s="1" t="str">
        <f t="shared" ca="1" si="18"/>
        <v>192.168.2.1</v>
      </c>
      <c r="O40" t="str">
        <f t="shared" si="19"/>
        <v>N/A</v>
      </c>
      <c r="P40" t="str">
        <f t="shared" si="20"/>
        <v>N/A</v>
      </c>
      <c r="Q40" s="1" t="str">
        <f t="shared" ca="1" si="21"/>
        <v>192.168.2.3</v>
      </c>
      <c r="R40" t="str">
        <f t="shared" ca="1" si="22"/>
        <v>192.168.2.126</v>
      </c>
      <c r="S40" s="1" t="str">
        <f t="shared" ca="1" si="23"/>
        <v>192.168.2.127</v>
      </c>
    </row>
    <row r="41" spans="1:19" x14ac:dyDescent="0.25">
      <c r="A41" t="str">
        <f>Base!A41</f>
        <v>Síť 37</v>
      </c>
      <c r="B41" s="4">
        <f>Base!B41</f>
        <v>0</v>
      </c>
      <c r="C41" s="3">
        <f>Base!C41</f>
        <v>0</v>
      </c>
      <c r="D41" s="3">
        <f t="shared" si="13"/>
        <v>2</v>
      </c>
      <c r="E41">
        <f t="shared" si="1"/>
        <v>1</v>
      </c>
      <c r="F41">
        <f t="shared" si="2"/>
        <v>2</v>
      </c>
      <c r="G41">
        <f t="shared" si="14"/>
        <v>31</v>
      </c>
      <c r="H41" s="1">
        <f t="shared" ca="1" si="15"/>
        <v>0</v>
      </c>
      <c r="I41">
        <f t="shared" ca="1" si="16"/>
        <v>2</v>
      </c>
      <c r="L41" s="1" t="str">
        <f t="shared" ca="1" si="17"/>
        <v>192.168.2.0</v>
      </c>
      <c r="M41" t="str">
        <f>VLOOKUP(G41, MaskTable!A:B, 2, FALSE)</f>
        <v>255.255.255.254</v>
      </c>
      <c r="N41" s="1" t="str">
        <f t="shared" ca="1" si="18"/>
        <v>192.168.2.1</v>
      </c>
      <c r="O41" t="str">
        <f t="shared" si="19"/>
        <v>N/A</v>
      </c>
      <c r="P41" t="str">
        <f t="shared" si="20"/>
        <v>N/A</v>
      </c>
      <c r="Q41" s="1" t="str">
        <f t="shared" ca="1" si="21"/>
        <v>192.168.2.3</v>
      </c>
      <c r="R41" t="str">
        <f t="shared" ca="1" si="22"/>
        <v>192.168.2.126</v>
      </c>
      <c r="S41" s="1" t="str">
        <f t="shared" ca="1" si="23"/>
        <v>192.168.2.127</v>
      </c>
    </row>
    <row r="42" spans="1:19" x14ac:dyDescent="0.25">
      <c r="A42" t="str">
        <f>Base!A42</f>
        <v>Síť 38</v>
      </c>
      <c r="B42" s="4">
        <f>Base!B42</f>
        <v>0</v>
      </c>
      <c r="C42" s="3">
        <f>Base!C42</f>
        <v>0</v>
      </c>
      <c r="D42" s="3">
        <f t="shared" si="13"/>
        <v>2</v>
      </c>
      <c r="E42">
        <f t="shared" si="1"/>
        <v>1</v>
      </c>
      <c r="F42">
        <f t="shared" si="2"/>
        <v>2</v>
      </c>
      <c r="G42">
        <f t="shared" si="14"/>
        <v>31</v>
      </c>
      <c r="H42" s="1">
        <f t="shared" ca="1" si="15"/>
        <v>0</v>
      </c>
      <c r="I42">
        <f t="shared" ca="1" si="16"/>
        <v>2</v>
      </c>
      <c r="L42" s="1" t="str">
        <f t="shared" ca="1" si="17"/>
        <v>192.168.2.0</v>
      </c>
      <c r="M42" t="str">
        <f>VLOOKUP(G42, MaskTable!A:B, 2, FALSE)</f>
        <v>255.255.255.254</v>
      </c>
      <c r="N42" s="1" t="str">
        <f t="shared" ca="1" si="18"/>
        <v>192.168.2.1</v>
      </c>
      <c r="O42" t="str">
        <f t="shared" si="19"/>
        <v>N/A</v>
      </c>
      <c r="P42" t="str">
        <f t="shared" si="20"/>
        <v>N/A</v>
      </c>
      <c r="Q42" s="1" t="str">
        <f t="shared" ca="1" si="21"/>
        <v>192.168.2.3</v>
      </c>
      <c r="R42" t="str">
        <f t="shared" ca="1" si="22"/>
        <v>192.168.2.126</v>
      </c>
      <c r="S42" s="1" t="str">
        <f t="shared" ca="1" si="23"/>
        <v>192.168.2.127</v>
      </c>
    </row>
    <row r="43" spans="1:19" x14ac:dyDescent="0.25">
      <c r="A43" t="str">
        <f>Base!A43</f>
        <v>Síť 39</v>
      </c>
      <c r="B43" s="4">
        <f>Base!B43</f>
        <v>0</v>
      </c>
      <c r="C43" s="3">
        <f>Base!C43</f>
        <v>0</v>
      </c>
      <c r="D43" s="3">
        <f t="shared" si="13"/>
        <v>2</v>
      </c>
      <c r="E43">
        <f t="shared" si="1"/>
        <v>1</v>
      </c>
      <c r="F43">
        <f t="shared" si="2"/>
        <v>2</v>
      </c>
      <c r="G43">
        <f t="shared" si="14"/>
        <v>31</v>
      </c>
      <c r="H43" s="1">
        <f t="shared" ca="1" si="15"/>
        <v>0</v>
      </c>
      <c r="I43">
        <f t="shared" ca="1" si="16"/>
        <v>2</v>
      </c>
      <c r="L43" s="1" t="str">
        <f t="shared" ca="1" si="17"/>
        <v>192.168.2.0</v>
      </c>
      <c r="M43" t="str">
        <f>VLOOKUP(G43, MaskTable!A:B, 2, FALSE)</f>
        <v>255.255.255.254</v>
      </c>
      <c r="N43" s="1" t="str">
        <f t="shared" ca="1" si="18"/>
        <v>192.168.2.1</v>
      </c>
      <c r="O43" t="str">
        <f t="shared" si="19"/>
        <v>N/A</v>
      </c>
      <c r="P43" t="str">
        <f t="shared" si="20"/>
        <v>N/A</v>
      </c>
      <c r="Q43" s="1" t="str">
        <f t="shared" ca="1" si="21"/>
        <v>192.168.2.3</v>
      </c>
      <c r="R43" t="str">
        <f t="shared" ca="1" si="22"/>
        <v>192.168.2.126</v>
      </c>
      <c r="S43" s="1" t="str">
        <f t="shared" ca="1" si="23"/>
        <v>192.168.2.127</v>
      </c>
    </row>
    <row r="44" spans="1:19" x14ac:dyDescent="0.25">
      <c r="A44" t="str">
        <f>Base!A44</f>
        <v>Síť 40</v>
      </c>
      <c r="B44" s="4">
        <f>Base!B44</f>
        <v>0</v>
      </c>
      <c r="C44" s="3">
        <f>Base!C44</f>
        <v>0</v>
      </c>
      <c r="D44" s="3">
        <f t="shared" si="13"/>
        <v>2</v>
      </c>
      <c r="E44">
        <f t="shared" si="1"/>
        <v>1</v>
      </c>
      <c r="F44">
        <f t="shared" si="2"/>
        <v>2</v>
      </c>
      <c r="G44">
        <f t="shared" si="14"/>
        <v>31</v>
      </c>
      <c r="H44" s="1">
        <f t="shared" ca="1" si="15"/>
        <v>0</v>
      </c>
      <c r="I44">
        <f t="shared" ca="1" si="16"/>
        <v>2</v>
      </c>
      <c r="L44" s="1" t="str">
        <f t="shared" ca="1" si="17"/>
        <v>192.168.2.0</v>
      </c>
      <c r="M44" t="str">
        <f>VLOOKUP(G44, MaskTable!A:B, 2, FALSE)</f>
        <v>255.255.255.254</v>
      </c>
      <c r="N44" s="1" t="str">
        <f t="shared" ca="1" si="18"/>
        <v>192.168.2.1</v>
      </c>
      <c r="O44" t="str">
        <f t="shared" si="19"/>
        <v>N/A</v>
      </c>
      <c r="P44" t="str">
        <f t="shared" si="20"/>
        <v>N/A</v>
      </c>
      <c r="Q44" s="1" t="str">
        <f t="shared" ca="1" si="21"/>
        <v>192.168.2.3</v>
      </c>
      <c r="R44" t="str">
        <f t="shared" ca="1" si="22"/>
        <v>192.168.2.126</v>
      </c>
      <c r="S44" s="1" t="str">
        <f t="shared" ca="1" si="23"/>
        <v>192.168.2.127</v>
      </c>
    </row>
    <row r="45" spans="1:19" x14ac:dyDescent="0.25">
      <c r="A45" t="str">
        <f>Base!A45</f>
        <v>Síť 41</v>
      </c>
      <c r="B45" s="4">
        <f>Base!B45</f>
        <v>0</v>
      </c>
      <c r="C45" s="3">
        <f>Base!C45</f>
        <v>0</v>
      </c>
      <c r="D45" s="3">
        <f t="shared" si="13"/>
        <v>2</v>
      </c>
      <c r="E45">
        <f t="shared" si="1"/>
        <v>1</v>
      </c>
      <c r="F45">
        <f t="shared" si="2"/>
        <v>2</v>
      </c>
      <c r="G45">
        <f t="shared" si="14"/>
        <v>31</v>
      </c>
      <c r="H45" s="1">
        <f t="shared" ca="1" si="15"/>
        <v>0</v>
      </c>
      <c r="I45">
        <f t="shared" ca="1" si="16"/>
        <v>2</v>
      </c>
      <c r="L45" s="1" t="str">
        <f t="shared" ca="1" si="17"/>
        <v>192.168.2.0</v>
      </c>
      <c r="M45" t="str">
        <f>VLOOKUP(G45, MaskTable!A:B, 2, FALSE)</f>
        <v>255.255.255.254</v>
      </c>
      <c r="N45" s="1" t="str">
        <f t="shared" ca="1" si="18"/>
        <v>192.168.2.1</v>
      </c>
      <c r="O45" t="str">
        <f t="shared" si="19"/>
        <v>N/A</v>
      </c>
      <c r="P45" t="str">
        <f t="shared" si="20"/>
        <v>N/A</v>
      </c>
      <c r="Q45" s="1" t="str">
        <f t="shared" ca="1" si="21"/>
        <v>192.168.2.3</v>
      </c>
      <c r="R45" t="str">
        <f t="shared" ca="1" si="22"/>
        <v>192.168.2.126</v>
      </c>
      <c r="S45" s="1" t="str">
        <f t="shared" ca="1" si="23"/>
        <v>192.168.2.127</v>
      </c>
    </row>
    <row r="46" spans="1:19" x14ac:dyDescent="0.25">
      <c r="A46" t="str">
        <f>Base!A46</f>
        <v>Síť 42</v>
      </c>
      <c r="B46" s="4">
        <f>Base!B46</f>
        <v>0</v>
      </c>
      <c r="C46" s="3">
        <f>Base!C46</f>
        <v>0</v>
      </c>
      <c r="D46" s="3">
        <f t="shared" si="13"/>
        <v>2</v>
      </c>
      <c r="E46">
        <f t="shared" si="1"/>
        <v>1</v>
      </c>
      <c r="F46">
        <f t="shared" si="2"/>
        <v>2</v>
      </c>
      <c r="G46">
        <f t="shared" si="14"/>
        <v>31</v>
      </c>
      <c r="H46" s="1">
        <f t="shared" ca="1" si="15"/>
        <v>0</v>
      </c>
      <c r="I46">
        <f t="shared" ca="1" si="16"/>
        <v>2</v>
      </c>
      <c r="L46" s="1" t="str">
        <f t="shared" ca="1" si="17"/>
        <v>192.168.2.0</v>
      </c>
      <c r="M46" t="str">
        <f>VLOOKUP(G46, MaskTable!A:B, 2, FALSE)</f>
        <v>255.255.255.254</v>
      </c>
      <c r="N46" s="1" t="str">
        <f t="shared" ca="1" si="18"/>
        <v>192.168.2.1</v>
      </c>
      <c r="O46" t="str">
        <f t="shared" si="19"/>
        <v>N/A</v>
      </c>
      <c r="P46" t="str">
        <f t="shared" si="20"/>
        <v>N/A</v>
      </c>
      <c r="Q46" s="1" t="str">
        <f t="shared" ca="1" si="21"/>
        <v>192.168.2.3</v>
      </c>
      <c r="R46" t="str">
        <f t="shared" ca="1" si="22"/>
        <v>192.168.2.126</v>
      </c>
      <c r="S46" s="1" t="str">
        <f t="shared" ca="1" si="23"/>
        <v>192.168.2.127</v>
      </c>
    </row>
    <row r="47" spans="1:19" x14ac:dyDescent="0.25">
      <c r="A47" t="str">
        <f>Base!A47</f>
        <v>Síť 43</v>
      </c>
      <c r="B47" s="4">
        <f>Base!B47</f>
        <v>0</v>
      </c>
      <c r="C47" s="3">
        <f>Base!C47</f>
        <v>0</v>
      </c>
      <c r="D47" s="3">
        <f t="shared" si="13"/>
        <v>2</v>
      </c>
      <c r="E47">
        <f t="shared" si="1"/>
        <v>1</v>
      </c>
      <c r="F47">
        <f t="shared" si="2"/>
        <v>2</v>
      </c>
      <c r="G47">
        <f t="shared" si="14"/>
        <v>31</v>
      </c>
      <c r="H47" s="1">
        <f t="shared" ca="1" si="15"/>
        <v>0</v>
      </c>
      <c r="I47">
        <f t="shared" ca="1" si="16"/>
        <v>2</v>
      </c>
      <c r="L47" s="1" t="str">
        <f t="shared" ca="1" si="17"/>
        <v>192.168.2.0</v>
      </c>
      <c r="M47" t="str">
        <f>VLOOKUP(G47, MaskTable!A:B, 2, FALSE)</f>
        <v>255.255.255.254</v>
      </c>
      <c r="N47" s="1" t="str">
        <f t="shared" ca="1" si="18"/>
        <v>192.168.2.1</v>
      </c>
      <c r="O47" t="str">
        <f t="shared" si="19"/>
        <v>N/A</v>
      </c>
      <c r="P47" t="str">
        <f t="shared" si="20"/>
        <v>N/A</v>
      </c>
      <c r="Q47" s="1" t="str">
        <f t="shared" ca="1" si="21"/>
        <v>192.168.2.3</v>
      </c>
      <c r="R47" t="str">
        <f t="shared" ca="1" si="22"/>
        <v>192.168.2.126</v>
      </c>
      <c r="S47" s="1" t="str">
        <f t="shared" ca="1" si="23"/>
        <v>192.168.2.127</v>
      </c>
    </row>
    <row r="48" spans="1:19" x14ac:dyDescent="0.25">
      <c r="A48" t="str">
        <f>Base!A48</f>
        <v>Síť 44</v>
      </c>
      <c r="B48" s="4">
        <f>Base!B48</f>
        <v>0</v>
      </c>
      <c r="C48" s="3">
        <f>Base!C48</f>
        <v>0</v>
      </c>
      <c r="D48" s="3">
        <f t="shared" si="13"/>
        <v>2</v>
      </c>
      <c r="E48">
        <f t="shared" si="1"/>
        <v>1</v>
      </c>
      <c r="F48">
        <f t="shared" si="2"/>
        <v>2</v>
      </c>
      <c r="G48">
        <f t="shared" si="14"/>
        <v>31</v>
      </c>
      <c r="H48" s="1">
        <f t="shared" ca="1" si="15"/>
        <v>0</v>
      </c>
      <c r="I48">
        <f t="shared" ca="1" si="16"/>
        <v>2</v>
      </c>
      <c r="L48" s="1" t="str">
        <f t="shared" ca="1" si="17"/>
        <v>192.168.2.0</v>
      </c>
      <c r="M48" t="str">
        <f>VLOOKUP(G48, MaskTable!A:B, 2, FALSE)</f>
        <v>255.255.255.254</v>
      </c>
      <c r="N48" s="1" t="str">
        <f t="shared" ca="1" si="18"/>
        <v>192.168.2.1</v>
      </c>
      <c r="O48" t="str">
        <f t="shared" si="19"/>
        <v>N/A</v>
      </c>
      <c r="P48" t="str">
        <f t="shared" si="20"/>
        <v>N/A</v>
      </c>
      <c r="Q48" s="1" t="str">
        <f t="shared" ca="1" si="21"/>
        <v>192.168.2.3</v>
      </c>
      <c r="R48" t="str">
        <f t="shared" ca="1" si="22"/>
        <v>192.168.2.126</v>
      </c>
      <c r="S48" s="1" t="str">
        <f t="shared" ca="1" si="23"/>
        <v>192.168.2.127</v>
      </c>
    </row>
    <row r="49" spans="1:19" x14ac:dyDescent="0.25">
      <c r="A49" t="str">
        <f>Base!A49</f>
        <v>Síť 45</v>
      </c>
      <c r="B49" s="4">
        <f>Base!B49</f>
        <v>0</v>
      </c>
      <c r="C49" s="3">
        <f>Base!C49</f>
        <v>0</v>
      </c>
      <c r="D49" s="3">
        <f t="shared" si="13"/>
        <v>2</v>
      </c>
      <c r="E49">
        <f t="shared" si="1"/>
        <v>1</v>
      </c>
      <c r="F49">
        <f t="shared" si="2"/>
        <v>2</v>
      </c>
      <c r="G49">
        <f t="shared" si="14"/>
        <v>31</v>
      </c>
      <c r="H49" s="1">
        <f t="shared" ca="1" si="15"/>
        <v>0</v>
      </c>
      <c r="I49">
        <f t="shared" ca="1" si="16"/>
        <v>2</v>
      </c>
      <c r="L49" s="1" t="str">
        <f t="shared" ca="1" si="17"/>
        <v>192.168.2.0</v>
      </c>
      <c r="M49" t="str">
        <f>VLOOKUP(G49, MaskTable!A:B, 2, FALSE)</f>
        <v>255.255.255.254</v>
      </c>
      <c r="N49" s="1" t="str">
        <f t="shared" ca="1" si="18"/>
        <v>192.168.2.1</v>
      </c>
      <c r="O49" t="str">
        <f t="shared" si="19"/>
        <v>N/A</v>
      </c>
      <c r="P49" t="str">
        <f t="shared" si="20"/>
        <v>N/A</v>
      </c>
      <c r="Q49" s="1" t="str">
        <f t="shared" ca="1" si="21"/>
        <v>192.168.2.3</v>
      </c>
      <c r="R49" t="str">
        <f t="shared" ca="1" si="22"/>
        <v>192.168.2.126</v>
      </c>
      <c r="S49" s="1" t="str">
        <f t="shared" ca="1" si="23"/>
        <v>192.168.2.127</v>
      </c>
    </row>
    <row r="50" spans="1:19" x14ac:dyDescent="0.25">
      <c r="A50" t="str">
        <f>Base!A50</f>
        <v>Síť 46</v>
      </c>
      <c r="B50" s="4">
        <f>Base!B50</f>
        <v>0</v>
      </c>
      <c r="C50" s="3">
        <f>Base!C50</f>
        <v>0</v>
      </c>
      <c r="D50" s="3">
        <f t="shared" si="13"/>
        <v>2</v>
      </c>
      <c r="E50">
        <f t="shared" si="1"/>
        <v>1</v>
      </c>
      <c r="F50">
        <f t="shared" si="2"/>
        <v>2</v>
      </c>
      <c r="G50">
        <f t="shared" si="14"/>
        <v>31</v>
      </c>
      <c r="H50" s="1">
        <f t="shared" ca="1" si="15"/>
        <v>0</v>
      </c>
      <c r="I50">
        <f t="shared" ca="1" si="16"/>
        <v>2</v>
      </c>
      <c r="L50" s="1" t="str">
        <f t="shared" ca="1" si="17"/>
        <v>192.168.2.0</v>
      </c>
      <c r="M50" t="str">
        <f>VLOOKUP(G50, MaskTable!A:B, 2, FALSE)</f>
        <v>255.255.255.254</v>
      </c>
      <c r="N50" s="1" t="str">
        <f t="shared" ca="1" si="18"/>
        <v>192.168.2.1</v>
      </c>
      <c r="O50" t="str">
        <f t="shared" si="19"/>
        <v>N/A</v>
      </c>
      <c r="P50" t="str">
        <f t="shared" si="20"/>
        <v>N/A</v>
      </c>
      <c r="Q50" s="1" t="str">
        <f t="shared" ca="1" si="21"/>
        <v>192.168.2.3</v>
      </c>
      <c r="R50" t="str">
        <f t="shared" ca="1" si="22"/>
        <v>192.168.2.126</v>
      </c>
      <c r="S50" s="1" t="str">
        <f t="shared" ca="1" si="23"/>
        <v>192.168.2.127</v>
      </c>
    </row>
    <row r="51" spans="1:19" x14ac:dyDescent="0.25">
      <c r="A51" t="str">
        <f>Base!A51</f>
        <v>Síť 47</v>
      </c>
      <c r="B51" s="4">
        <f>Base!B51</f>
        <v>0</v>
      </c>
      <c r="C51" s="3">
        <f>Base!C51</f>
        <v>0</v>
      </c>
      <c r="D51" s="3">
        <f t="shared" si="13"/>
        <v>2</v>
      </c>
      <c r="E51">
        <f t="shared" si="1"/>
        <v>1</v>
      </c>
      <c r="F51">
        <f t="shared" si="2"/>
        <v>2</v>
      </c>
      <c r="G51">
        <f t="shared" si="14"/>
        <v>31</v>
      </c>
      <c r="H51" s="1">
        <f t="shared" ca="1" si="15"/>
        <v>0</v>
      </c>
      <c r="I51">
        <f t="shared" ca="1" si="16"/>
        <v>2</v>
      </c>
      <c r="L51" s="1" t="str">
        <f t="shared" ca="1" si="17"/>
        <v>192.168.2.0</v>
      </c>
      <c r="M51" t="str">
        <f>VLOOKUP(G51, MaskTable!A:B, 2, FALSE)</f>
        <v>255.255.255.254</v>
      </c>
      <c r="N51" s="1" t="str">
        <f t="shared" ca="1" si="18"/>
        <v>192.168.2.1</v>
      </c>
      <c r="O51" t="str">
        <f t="shared" si="19"/>
        <v>N/A</v>
      </c>
      <c r="P51" t="str">
        <f t="shared" si="20"/>
        <v>N/A</v>
      </c>
      <c r="Q51" s="1" t="str">
        <f t="shared" ca="1" si="21"/>
        <v>192.168.2.3</v>
      </c>
      <c r="R51" t="str">
        <f t="shared" ca="1" si="22"/>
        <v>192.168.2.126</v>
      </c>
      <c r="S51" s="1" t="str">
        <f t="shared" ca="1" si="23"/>
        <v>192.168.2.127</v>
      </c>
    </row>
    <row r="52" spans="1:19" x14ac:dyDescent="0.25">
      <c r="A52" t="str">
        <f>Base!A52</f>
        <v>Síť 48</v>
      </c>
      <c r="B52" s="4">
        <f>Base!B52</f>
        <v>0</v>
      </c>
      <c r="C52" s="3">
        <f>Base!C52</f>
        <v>0</v>
      </c>
      <c r="D52" s="3">
        <f t="shared" si="13"/>
        <v>2</v>
      </c>
      <c r="E52">
        <f t="shared" si="1"/>
        <v>1</v>
      </c>
      <c r="F52">
        <f t="shared" si="2"/>
        <v>2</v>
      </c>
      <c r="G52">
        <f t="shared" si="14"/>
        <v>31</v>
      </c>
      <c r="H52" s="1">
        <f t="shared" ca="1" si="15"/>
        <v>0</v>
      </c>
      <c r="I52">
        <f t="shared" ca="1" si="16"/>
        <v>2</v>
      </c>
      <c r="L52" s="1" t="str">
        <f t="shared" ca="1" si="17"/>
        <v>192.168.2.0</v>
      </c>
      <c r="M52" t="str">
        <f>VLOOKUP(G52, MaskTable!A:B, 2, FALSE)</f>
        <v>255.255.255.254</v>
      </c>
      <c r="N52" s="1" t="str">
        <f t="shared" ca="1" si="18"/>
        <v>192.168.2.1</v>
      </c>
      <c r="O52" t="str">
        <f t="shared" si="19"/>
        <v>N/A</v>
      </c>
      <c r="P52" t="str">
        <f t="shared" si="20"/>
        <v>N/A</v>
      </c>
      <c r="Q52" s="1" t="str">
        <f t="shared" ca="1" si="21"/>
        <v>192.168.2.3</v>
      </c>
      <c r="R52" t="str">
        <f t="shared" ca="1" si="22"/>
        <v>192.168.2.126</v>
      </c>
      <c r="S52" s="1" t="str">
        <f t="shared" ca="1" si="23"/>
        <v>192.168.2.127</v>
      </c>
    </row>
    <row r="53" spans="1:19" x14ac:dyDescent="0.25">
      <c r="A53" t="str">
        <f>Base!A53</f>
        <v>Síť 49</v>
      </c>
      <c r="B53" s="4">
        <f>Base!B53</f>
        <v>0</v>
      </c>
      <c r="C53" s="3">
        <f>Base!C53</f>
        <v>0</v>
      </c>
      <c r="D53" s="3">
        <f t="shared" si="13"/>
        <v>2</v>
      </c>
      <c r="E53">
        <f t="shared" si="1"/>
        <v>1</v>
      </c>
      <c r="F53">
        <f t="shared" si="2"/>
        <v>2</v>
      </c>
      <c r="G53">
        <f t="shared" si="14"/>
        <v>31</v>
      </c>
      <c r="H53" s="1">
        <f t="shared" ca="1" si="15"/>
        <v>0</v>
      </c>
      <c r="I53">
        <f t="shared" ca="1" si="16"/>
        <v>2</v>
      </c>
      <c r="L53" s="1" t="str">
        <f t="shared" ca="1" si="17"/>
        <v>192.168.2.0</v>
      </c>
      <c r="M53" t="str">
        <f>VLOOKUP(G53, MaskTable!A:B, 2, FALSE)</f>
        <v>255.255.255.254</v>
      </c>
      <c r="N53" s="1" t="str">
        <f t="shared" ca="1" si="18"/>
        <v>192.168.2.1</v>
      </c>
      <c r="O53" t="str">
        <f t="shared" si="19"/>
        <v>N/A</v>
      </c>
      <c r="P53" t="str">
        <f t="shared" si="20"/>
        <v>N/A</v>
      </c>
      <c r="Q53" s="1" t="str">
        <f t="shared" ca="1" si="21"/>
        <v>192.168.2.3</v>
      </c>
      <c r="R53" t="str">
        <f t="shared" ca="1" si="22"/>
        <v>192.168.2.126</v>
      </c>
      <c r="S53" s="1" t="str">
        <f t="shared" ca="1" si="23"/>
        <v>192.168.2.127</v>
      </c>
    </row>
    <row r="54" spans="1:19" x14ac:dyDescent="0.25">
      <c r="A54" t="str">
        <f>Base!A54</f>
        <v>Síť 50</v>
      </c>
      <c r="B54" s="4">
        <f>Base!B54</f>
        <v>0</v>
      </c>
      <c r="C54" s="3">
        <f>Base!C54</f>
        <v>0</v>
      </c>
      <c r="D54" s="3">
        <f t="shared" si="13"/>
        <v>2</v>
      </c>
      <c r="E54">
        <f t="shared" si="1"/>
        <v>1</v>
      </c>
      <c r="F54">
        <f t="shared" si="2"/>
        <v>2</v>
      </c>
      <c r="G54">
        <f t="shared" si="14"/>
        <v>31</v>
      </c>
      <c r="H54" s="1">
        <f t="shared" ca="1" si="15"/>
        <v>0</v>
      </c>
      <c r="I54">
        <f t="shared" ca="1" si="16"/>
        <v>2</v>
      </c>
      <c r="L54" s="1" t="str">
        <f t="shared" ca="1" si="17"/>
        <v>192.168.2.0</v>
      </c>
      <c r="M54" t="str">
        <f>VLOOKUP(G54, MaskTable!A:B, 2, FALSE)</f>
        <v>255.255.255.254</v>
      </c>
      <c r="N54" s="1" t="str">
        <f t="shared" ca="1" si="18"/>
        <v>192.168.2.1</v>
      </c>
      <c r="O54" t="str">
        <f t="shared" si="19"/>
        <v>N/A</v>
      </c>
      <c r="P54" t="str">
        <f t="shared" si="20"/>
        <v>N/A</v>
      </c>
      <c r="Q54" s="1" t="str">
        <f t="shared" ca="1" si="21"/>
        <v>192.168.2.3</v>
      </c>
      <c r="R54" t="str">
        <f t="shared" ca="1" si="22"/>
        <v>192.168.2.126</v>
      </c>
      <c r="S54" s="1" t="str">
        <f t="shared" ca="1" si="23"/>
        <v>192.168.2.127</v>
      </c>
    </row>
    <row r="55" spans="1:19" x14ac:dyDescent="0.25">
      <c r="A55" t="str">
        <f>Base!A55</f>
        <v>Síť 51</v>
      </c>
      <c r="B55" s="4">
        <f>Base!B55</f>
        <v>0</v>
      </c>
      <c r="C55" s="3">
        <f>Base!C55</f>
        <v>0</v>
      </c>
      <c r="D55" s="3">
        <f t="shared" si="13"/>
        <v>2</v>
      </c>
      <c r="E55">
        <f t="shared" si="1"/>
        <v>1</v>
      </c>
      <c r="F55">
        <f t="shared" si="2"/>
        <v>2</v>
      </c>
      <c r="G55">
        <f t="shared" si="14"/>
        <v>31</v>
      </c>
      <c r="H55" s="1">
        <f t="shared" ca="1" si="15"/>
        <v>0</v>
      </c>
      <c r="I55">
        <f t="shared" ca="1" si="16"/>
        <v>2</v>
      </c>
      <c r="L55" s="1" t="str">
        <f t="shared" ca="1" si="17"/>
        <v>192.168.2.0</v>
      </c>
      <c r="M55" t="str">
        <f>VLOOKUP(G55, MaskTable!A:B, 2, FALSE)</f>
        <v>255.255.255.254</v>
      </c>
      <c r="N55" s="1" t="str">
        <f t="shared" ca="1" si="18"/>
        <v>192.168.2.1</v>
      </c>
      <c r="O55" t="str">
        <f t="shared" si="19"/>
        <v>N/A</v>
      </c>
      <c r="P55" t="str">
        <f t="shared" si="20"/>
        <v>N/A</v>
      </c>
      <c r="Q55" s="1" t="str">
        <f t="shared" ca="1" si="21"/>
        <v>192.168.2.3</v>
      </c>
      <c r="R55" t="str">
        <f t="shared" ca="1" si="22"/>
        <v>192.168.2.126</v>
      </c>
      <c r="S55" s="1" t="str">
        <f t="shared" ca="1" si="23"/>
        <v>192.168.2.127</v>
      </c>
    </row>
    <row r="56" spans="1:19" x14ac:dyDescent="0.25">
      <c r="A56" t="str">
        <f>Base!A56</f>
        <v>Síť 52</v>
      </c>
      <c r="B56" s="4">
        <f>Base!B56</f>
        <v>0</v>
      </c>
      <c r="C56" s="3">
        <f>Base!C56</f>
        <v>0</v>
      </c>
      <c r="D56" s="3">
        <f t="shared" si="13"/>
        <v>2</v>
      </c>
      <c r="E56">
        <f t="shared" si="1"/>
        <v>1</v>
      </c>
      <c r="F56">
        <f t="shared" si="2"/>
        <v>2</v>
      </c>
      <c r="G56">
        <f t="shared" si="14"/>
        <v>31</v>
      </c>
      <c r="H56" s="1">
        <f t="shared" ca="1" si="15"/>
        <v>0</v>
      </c>
      <c r="I56">
        <f t="shared" ca="1" si="16"/>
        <v>2</v>
      </c>
      <c r="L56" s="1" t="str">
        <f t="shared" ca="1" si="17"/>
        <v>192.168.2.0</v>
      </c>
      <c r="M56" t="str">
        <f>VLOOKUP(G56, MaskTable!A:B, 2, FALSE)</f>
        <v>255.255.255.254</v>
      </c>
      <c r="N56" s="1" t="str">
        <f t="shared" ca="1" si="18"/>
        <v>192.168.2.1</v>
      </c>
      <c r="O56" t="str">
        <f t="shared" si="19"/>
        <v>N/A</v>
      </c>
      <c r="P56" t="str">
        <f t="shared" si="20"/>
        <v>N/A</v>
      </c>
      <c r="Q56" s="1" t="str">
        <f t="shared" ca="1" si="21"/>
        <v>192.168.2.3</v>
      </c>
      <c r="R56" t="str">
        <f t="shared" ca="1" si="22"/>
        <v>192.168.2.126</v>
      </c>
      <c r="S56" s="1" t="str">
        <f t="shared" ca="1" si="23"/>
        <v>192.168.2.127</v>
      </c>
    </row>
    <row r="57" spans="1:19" x14ac:dyDescent="0.25">
      <c r="A57" t="str">
        <f>Base!A57</f>
        <v>Síť 53</v>
      </c>
      <c r="B57" s="4">
        <f>Base!B57</f>
        <v>0</v>
      </c>
      <c r="C57" s="3">
        <f>Base!C57</f>
        <v>0</v>
      </c>
      <c r="D57" s="3">
        <f t="shared" si="13"/>
        <v>2</v>
      </c>
      <c r="E57">
        <f t="shared" si="1"/>
        <v>1</v>
      </c>
      <c r="F57">
        <f t="shared" si="2"/>
        <v>2</v>
      </c>
      <c r="G57">
        <f t="shared" si="14"/>
        <v>31</v>
      </c>
      <c r="H57" s="1">
        <f t="shared" ca="1" si="15"/>
        <v>0</v>
      </c>
      <c r="I57">
        <f t="shared" ca="1" si="16"/>
        <v>2</v>
      </c>
      <c r="L57" s="1" t="str">
        <f t="shared" ca="1" si="17"/>
        <v>192.168.2.0</v>
      </c>
      <c r="M57" t="str">
        <f>VLOOKUP(G57, MaskTable!A:B, 2, FALSE)</f>
        <v>255.255.255.254</v>
      </c>
      <c r="N57" s="1" t="str">
        <f t="shared" ca="1" si="18"/>
        <v>192.168.2.1</v>
      </c>
      <c r="O57" t="str">
        <f t="shared" si="19"/>
        <v>N/A</v>
      </c>
      <c r="P57" t="str">
        <f t="shared" si="20"/>
        <v>N/A</v>
      </c>
      <c r="Q57" s="1" t="str">
        <f t="shared" ca="1" si="21"/>
        <v>192.168.2.3</v>
      </c>
      <c r="R57" t="str">
        <f t="shared" ca="1" si="22"/>
        <v>192.168.2.126</v>
      </c>
      <c r="S57" s="1" t="str">
        <f t="shared" ca="1" si="23"/>
        <v>192.168.2.127</v>
      </c>
    </row>
    <row r="58" spans="1:19" x14ac:dyDescent="0.25">
      <c r="A58" t="str">
        <f>Base!A58</f>
        <v>Síť 54</v>
      </c>
      <c r="B58" s="4">
        <f>Base!B58</f>
        <v>0</v>
      </c>
      <c r="C58" s="3">
        <f>Base!C58</f>
        <v>0</v>
      </c>
      <c r="D58" s="3">
        <f t="shared" si="13"/>
        <v>2</v>
      </c>
      <c r="E58">
        <f t="shared" si="1"/>
        <v>1</v>
      </c>
      <c r="F58">
        <f t="shared" si="2"/>
        <v>2</v>
      </c>
      <c r="G58">
        <f t="shared" si="14"/>
        <v>31</v>
      </c>
      <c r="H58" s="1">
        <f t="shared" ca="1" si="15"/>
        <v>0</v>
      </c>
      <c r="I58">
        <f t="shared" ca="1" si="16"/>
        <v>2</v>
      </c>
      <c r="L58" s="1" t="str">
        <f t="shared" ca="1" si="17"/>
        <v>192.168.2.0</v>
      </c>
      <c r="M58" t="str">
        <f>VLOOKUP(G58, MaskTable!A:B, 2, FALSE)</f>
        <v>255.255.255.254</v>
      </c>
      <c r="N58" s="1" t="str">
        <f t="shared" ca="1" si="18"/>
        <v>192.168.2.1</v>
      </c>
      <c r="O58" t="str">
        <f t="shared" si="19"/>
        <v>N/A</v>
      </c>
      <c r="P58" t="str">
        <f t="shared" si="20"/>
        <v>N/A</v>
      </c>
      <c r="Q58" s="1" t="str">
        <f t="shared" ca="1" si="21"/>
        <v>192.168.2.3</v>
      </c>
      <c r="R58" t="str">
        <f t="shared" ca="1" si="22"/>
        <v>192.168.2.126</v>
      </c>
      <c r="S58" s="1" t="str">
        <f t="shared" ca="1" si="23"/>
        <v>192.168.2.127</v>
      </c>
    </row>
    <row r="59" spans="1:19" x14ac:dyDescent="0.25">
      <c r="A59" t="str">
        <f>Base!A59</f>
        <v>Síť 55</v>
      </c>
      <c r="B59" s="4">
        <f>Base!B59</f>
        <v>0</v>
      </c>
      <c r="C59" s="3">
        <f>Base!C59</f>
        <v>0</v>
      </c>
      <c r="D59" s="3">
        <f t="shared" si="13"/>
        <v>2</v>
      </c>
      <c r="E59">
        <f t="shared" si="1"/>
        <v>1</v>
      </c>
      <c r="F59">
        <f t="shared" si="2"/>
        <v>2</v>
      </c>
      <c r="G59">
        <f t="shared" si="14"/>
        <v>31</v>
      </c>
      <c r="H59" s="1">
        <f t="shared" ca="1" si="15"/>
        <v>0</v>
      </c>
      <c r="I59">
        <f t="shared" ca="1" si="16"/>
        <v>2</v>
      </c>
      <c r="L59" s="1" t="str">
        <f t="shared" ca="1" si="17"/>
        <v>192.168.2.0</v>
      </c>
      <c r="M59" t="str">
        <f>VLOOKUP(G59, MaskTable!A:B, 2, FALSE)</f>
        <v>255.255.255.254</v>
      </c>
      <c r="N59" s="1" t="str">
        <f t="shared" ca="1" si="18"/>
        <v>192.168.2.1</v>
      </c>
      <c r="O59" t="str">
        <f t="shared" si="19"/>
        <v>N/A</v>
      </c>
      <c r="P59" t="str">
        <f t="shared" si="20"/>
        <v>N/A</v>
      </c>
      <c r="Q59" s="1" t="str">
        <f t="shared" ca="1" si="21"/>
        <v>192.168.2.3</v>
      </c>
      <c r="R59" t="str">
        <f t="shared" ca="1" si="22"/>
        <v>192.168.2.126</v>
      </c>
      <c r="S59" s="1" t="str">
        <f t="shared" ca="1" si="23"/>
        <v>192.168.2.127</v>
      </c>
    </row>
    <row r="60" spans="1:19" x14ac:dyDescent="0.25">
      <c r="A60" t="str">
        <f>Base!A60</f>
        <v>Síť 56</v>
      </c>
      <c r="B60" s="4">
        <f>Base!B60</f>
        <v>0</v>
      </c>
      <c r="C60" s="3">
        <f>Base!C60</f>
        <v>0</v>
      </c>
      <c r="D60" s="3">
        <f t="shared" si="13"/>
        <v>2</v>
      </c>
      <c r="E60">
        <f t="shared" si="1"/>
        <v>1</v>
      </c>
      <c r="F60">
        <f t="shared" si="2"/>
        <v>2</v>
      </c>
      <c r="G60">
        <f t="shared" si="14"/>
        <v>31</v>
      </c>
      <c r="H60" s="1">
        <f t="shared" ca="1" si="15"/>
        <v>0</v>
      </c>
      <c r="I60">
        <f t="shared" ca="1" si="16"/>
        <v>2</v>
      </c>
      <c r="L60" s="1" t="str">
        <f t="shared" ca="1" si="17"/>
        <v>192.168.2.0</v>
      </c>
      <c r="M60" t="str">
        <f>VLOOKUP(G60, MaskTable!A:B, 2, FALSE)</f>
        <v>255.255.255.254</v>
      </c>
      <c r="N60" s="1" t="str">
        <f t="shared" ca="1" si="18"/>
        <v>192.168.2.1</v>
      </c>
      <c r="O60" t="str">
        <f t="shared" si="19"/>
        <v>N/A</v>
      </c>
      <c r="P60" t="str">
        <f t="shared" si="20"/>
        <v>N/A</v>
      </c>
      <c r="Q60" s="1" t="str">
        <f t="shared" ca="1" si="21"/>
        <v>192.168.2.3</v>
      </c>
      <c r="R60" t="str">
        <f t="shared" ca="1" si="22"/>
        <v>192.168.2.126</v>
      </c>
      <c r="S60" s="1" t="str">
        <f t="shared" ca="1" si="23"/>
        <v>192.168.2.127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9B75-DFF6-4667-AC1C-E49071178138}">
  <dimension ref="A1:E10"/>
  <sheetViews>
    <sheetView workbookViewId="0">
      <selection activeCell="A39" sqref="A39"/>
    </sheetView>
  </sheetViews>
  <sheetFormatPr defaultRowHeight="15" x14ac:dyDescent="0.25"/>
  <cols>
    <col min="1" max="1" width="40.7109375" customWidth="1"/>
    <col min="2" max="2" width="18" bestFit="1" customWidth="1"/>
    <col min="3" max="3" width="11.42578125" bestFit="1" customWidth="1"/>
    <col min="4" max="4" width="19.5703125" bestFit="1" customWidth="1"/>
    <col min="5" max="5" width="21.140625" bestFit="1" customWidth="1"/>
  </cols>
  <sheetData>
    <row r="1" spans="1:5" ht="15.75" thickBot="1" x14ac:dyDescent="0.3">
      <c r="A1" s="5" t="s">
        <v>20</v>
      </c>
      <c r="B1" s="5" t="s">
        <v>29</v>
      </c>
      <c r="C1" s="5" t="s">
        <v>30</v>
      </c>
      <c r="D1" s="5" t="s">
        <v>31</v>
      </c>
      <c r="E1" s="6" t="s">
        <v>32</v>
      </c>
    </row>
    <row r="2" spans="1:5" ht="15.75" thickBot="1" x14ac:dyDescent="0.3">
      <c r="A2" s="5">
        <v>24</v>
      </c>
      <c r="B2" s="5" t="s">
        <v>35</v>
      </c>
      <c r="C2" s="7">
        <v>8</v>
      </c>
      <c r="D2" s="7">
        <v>256</v>
      </c>
      <c r="E2" s="7">
        <v>254</v>
      </c>
    </row>
    <row r="3" spans="1:5" ht="15.75" thickBot="1" x14ac:dyDescent="0.3">
      <c r="A3" s="5">
        <v>25</v>
      </c>
      <c r="B3" s="5" t="s">
        <v>36</v>
      </c>
      <c r="C3" s="7">
        <v>7</v>
      </c>
      <c r="D3" s="7">
        <v>128</v>
      </c>
      <c r="E3" s="7">
        <v>126</v>
      </c>
    </row>
    <row r="4" spans="1:5" ht="15.75" thickBot="1" x14ac:dyDescent="0.3">
      <c r="A4" s="5">
        <v>26</v>
      </c>
      <c r="B4" s="5" t="s">
        <v>37</v>
      </c>
      <c r="C4" s="7">
        <v>6</v>
      </c>
      <c r="D4" s="7">
        <v>64</v>
      </c>
      <c r="E4" s="7">
        <v>62</v>
      </c>
    </row>
    <row r="5" spans="1:5" ht="15.75" thickBot="1" x14ac:dyDescent="0.3">
      <c r="A5" s="5">
        <v>27</v>
      </c>
      <c r="B5" s="5" t="s">
        <v>38</v>
      </c>
      <c r="C5" s="7">
        <v>5</v>
      </c>
      <c r="D5" s="7">
        <v>32</v>
      </c>
      <c r="E5" s="7">
        <v>30</v>
      </c>
    </row>
    <row r="6" spans="1:5" ht="15.75" thickBot="1" x14ac:dyDescent="0.3">
      <c r="A6" s="5">
        <v>28</v>
      </c>
      <c r="B6" s="5" t="s">
        <v>39</v>
      </c>
      <c r="C6" s="7">
        <v>4</v>
      </c>
      <c r="D6" s="7">
        <v>16</v>
      </c>
      <c r="E6" s="7">
        <v>14</v>
      </c>
    </row>
    <row r="7" spans="1:5" ht="15.75" thickBot="1" x14ac:dyDescent="0.3">
      <c r="A7" s="5">
        <v>29</v>
      </c>
      <c r="B7" s="5" t="s">
        <v>40</v>
      </c>
      <c r="C7" s="7">
        <v>3</v>
      </c>
      <c r="D7" s="7">
        <v>8</v>
      </c>
      <c r="E7" s="7">
        <v>6</v>
      </c>
    </row>
    <row r="8" spans="1:5" ht="15.75" thickBot="1" x14ac:dyDescent="0.3">
      <c r="A8" s="5">
        <v>30</v>
      </c>
      <c r="B8" s="5" t="s">
        <v>41</v>
      </c>
      <c r="C8" s="7">
        <v>2</v>
      </c>
      <c r="D8" s="7">
        <v>4</v>
      </c>
      <c r="E8" s="7">
        <v>2</v>
      </c>
    </row>
    <row r="9" spans="1:5" ht="15.75" thickBot="1" x14ac:dyDescent="0.3">
      <c r="A9" s="5">
        <v>31</v>
      </c>
      <c r="B9" s="5" t="s">
        <v>42</v>
      </c>
      <c r="C9" s="7">
        <v>1</v>
      </c>
      <c r="D9" s="7">
        <v>2</v>
      </c>
      <c r="E9" s="6" t="s">
        <v>33</v>
      </c>
    </row>
    <row r="10" spans="1:5" ht="15.75" thickBot="1" x14ac:dyDescent="0.3">
      <c r="A10" s="5">
        <v>32</v>
      </c>
      <c r="B10" s="5" t="s">
        <v>43</v>
      </c>
      <c r="C10" s="7">
        <v>0</v>
      </c>
      <c r="D10" s="7">
        <v>1</v>
      </c>
      <c r="E10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Count</vt:lpstr>
      <vt:lpstr>MaskTable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Vítovec Jakub</dc:creator>
  <cp:lastModifiedBy>Vítovec Jakub</cp:lastModifiedBy>
  <dcterms:created xsi:type="dcterms:W3CDTF">2025-12-15T14:15:35Z</dcterms:created>
  <dcterms:modified xsi:type="dcterms:W3CDTF">2025-12-15T18:21:19Z</dcterms:modified>
</cp:coreProperties>
</file>